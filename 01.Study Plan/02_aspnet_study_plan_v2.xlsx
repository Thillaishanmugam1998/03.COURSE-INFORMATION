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8" windowHeight="8524" tabRatio="500"/>
  </bookViews>
  <sheets>
    <sheet name="📚 Study Plan" sheetId="1" r:id="rId1"/>
    <sheet name="📊 Dashboard" sheetId="2" r:id="rId2"/>
    <sheet name="📋 Sections Overvi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<sst xmlns="http://schemas.openxmlformats.org/spreadsheetml/2006/main" count="1005" uniqueCount="321">
  <si>
    <t>🎯  ASP.NET Core Web API — Complete Study Plan</t>
  </si>
  <si>
    <t xml:space="preserve">  📅 Start: 18-May-2026   |   End: 22-Jun-2026   |   Total Topics: 176   |   Total Days: 36</t>
  </si>
  <si>
    <t>Daily Target: 5 Topics/Day  ⚡  Update Status column after each topic  →</t>
  </si>
  <si>
    <t xml:space="preserve">  STATUS:   ✅ Done   🔄 In Progress   ⏸ Paused   ❌ Skipped   ⬜ Not Started</t>
  </si>
  <si>
    <t>#</t>
  </si>
  <si>
    <t>Section</t>
  </si>
  <si>
    <t>Topic</t>
  </si>
  <si>
    <t>Date</t>
  </si>
  <si>
    <t>Day</t>
  </si>
  <si>
    <t>T#</t>
  </si>
  <si>
    <t>Status</t>
  </si>
  <si>
    <t>Notes</t>
  </si>
  <si>
    <t xml:space="preserve">   📅  Day 1  —  Monday, 18 May 2026   ·   Topics 1 – 5</t>
  </si>
  <si>
    <t>ASP.NET Core Web API – Basics</t>
  </si>
  <si>
    <t>Introduction to ASP.NET Core Web API</t>
  </si>
  <si>
    <t>18-May-2026</t>
  </si>
  <si>
    <t>1/5</t>
  </si>
  <si>
    <t>✅ Done</t>
  </si>
  <si>
    <t>HTTP (HyperText Transport Protocol)</t>
  </si>
  <si>
    <t>2/5</t>
  </si>
  <si>
    <t>Creating ASP.NET Core Web API Project using .NET Core CLI</t>
  </si>
  <si>
    <t>3/5</t>
  </si>
  <si>
    <t>⬜ Not Started</t>
  </si>
  <si>
    <t>How to Test ASP.NET Core Web API Using Postman</t>
  </si>
  <si>
    <t>4/5</t>
  </si>
  <si>
    <t>Creating ASP.NET Core Web API Project in Visual Studio</t>
  </si>
  <si>
    <t>5/5</t>
  </si>
  <si>
    <t xml:space="preserve">   📅  Day 2  —  Tuesday, 19 May 2026   ·   Topics 6 – 10</t>
  </si>
  <si>
    <t>Default ASP.NET Core Web API Files and Folders</t>
  </si>
  <si>
    <t>19-May-2026</t>
  </si>
  <si>
    <t>ASP.NET Core Web API Project File</t>
  </si>
  <si>
    <t>ASP.NET Core Web API Main Method</t>
  </si>
  <si>
    <t>Controllers in ASP.NET Core Web API</t>
  </si>
  <si>
    <t>Models in ASP.NET Core Web API</t>
  </si>
  <si>
    <t xml:space="preserve">   📅  Day 3  —  Wednesday, 20 May 2026   ·   Topics 11 – 15</t>
  </si>
  <si>
    <t>Services in ASP.NET Core Web API</t>
  </si>
  <si>
    <t>20-May-2026</t>
  </si>
  <si>
    <t>ASP.NET Core Web API AppSettings.json file</t>
  </si>
  <si>
    <t>ASP.NET Core In-Process Hosting Model</t>
  </si>
  <si>
    <t>ASP.NET Core Kestrel Web Server</t>
  </si>
  <si>
    <t>ASP.NET Core Out of Process Hosting Model</t>
  </si>
  <si>
    <t xml:space="preserve">   📅  Day 4  —  Thursday, 21 May 2026   ·   Topics 16 – 20</t>
  </si>
  <si>
    <t>Hosting Model Interview Questions and Answers</t>
  </si>
  <si>
    <t>21-May-2026</t>
  </si>
  <si>
    <t>Dependency Injection in ASP.NET Core Web API</t>
  </si>
  <si>
    <t>Singleton vs Scoped vs Transient in ASP.NET Core Web API</t>
  </si>
  <si>
    <t>Swagger API in ASP.NET Core Web API</t>
  </si>
  <si>
    <t>ASP.NET Core Web API – Routing</t>
  </si>
  <si>
    <t>Routing in ASP.NET Core Web API</t>
  </si>
  <si>
    <t xml:space="preserve">   📅  Day 5  —  Friday, 22 May 2026   ·   Topics 21 – 25</t>
  </si>
  <si>
    <t>Route Parameters and Query Strings in Routing</t>
  </si>
  <si>
    <t>22-May-2026</t>
  </si>
  <si>
    <t>Multiple URLs for a Single Resource in ASP.NET Core Web API</t>
  </si>
  <si>
    <t>Token Replacement in ASP.NET Core Web API</t>
  </si>
  <si>
    <t>Route Prefix in ASP.NET Core Web API</t>
  </si>
  <si>
    <t>Route Constraints in ASP.NET Core Web API</t>
  </si>
  <si>
    <t xml:space="preserve">   📅  Day 6  —  Saturday, 23 May 2026   ·   Topics 26 – 30</t>
  </si>
  <si>
    <t>How Routing Works in ASP.NET Core Web API</t>
  </si>
  <si>
    <t>23-May-2026</t>
  </si>
  <si>
    <t>ASP.NET Core Web API – Return Types and Status Codes</t>
  </si>
  <si>
    <t>Action Return Types in ASP.NET Core Web API</t>
  </si>
  <si>
    <t>HTTP Status Codes in ASP.NET Core Web API</t>
  </si>
  <si>
    <t>200 HTTP Status Code in ASP.NET Core Web API</t>
  </si>
  <si>
    <t>201 HTTP Status Code in ASP.NET Core Web API</t>
  </si>
  <si>
    <t xml:space="preserve">   📅  Day 7  —  Sunday, 24 May 2026   ·   Topics 31 – 35</t>
  </si>
  <si>
    <t>202 HTTP Status Code in ASP.NET Core Web API</t>
  </si>
  <si>
    <t>24-May-2026</t>
  </si>
  <si>
    <t>204 HTTP Status Code in ASP.NET Core Web API</t>
  </si>
  <si>
    <t>301 HTTP Status Code in ASP.NET Core Web API</t>
  </si>
  <si>
    <t>302 HTTP Status Code in ASP.NET Core Web API</t>
  </si>
  <si>
    <t>304 HTTP Status Code in ASP.NET Core Web API</t>
  </si>
  <si>
    <t xml:space="preserve">   📅  Day 8  —  Monday, 25 May 2026   ·   Topics 36 – 40</t>
  </si>
  <si>
    <t>400 HTTP Status Code in ASP.NET Core Web API</t>
  </si>
  <si>
    <t>25-May-2026</t>
  </si>
  <si>
    <t>401 HTTP Status Code in ASP.NET Core Web API</t>
  </si>
  <si>
    <t>403 HTTP Status Code in ASP.NET Core Web API</t>
  </si>
  <si>
    <t>404 HTTP Status Code in ASP.NET Core Web API</t>
  </si>
  <si>
    <t>405 HTTP Status Code in ASP.NET Core Web API</t>
  </si>
  <si>
    <t xml:space="preserve">   📅  Day 9  —  Tuesday, 26 May 2026   ·   Topics 41 – 45</t>
  </si>
  <si>
    <t>Configure Allowed HTTP Methods Globally in ASP.NET Core Web API</t>
  </si>
  <si>
    <t>26-May-2026</t>
  </si>
  <si>
    <t>500 HTTP Status Code in ASP.NET Core Web API</t>
  </si>
  <si>
    <t>501 HTTP Status Code in ASP.NET Core Web API</t>
  </si>
  <si>
    <t>503 HTTP Status Code in ASP.NET Core Web API</t>
  </si>
  <si>
    <t>504 HTTP Status Code in ASP.NET Core Web API</t>
  </si>
  <si>
    <t xml:space="preserve">   📅  Day 10  —  Wednesday, 27 May 2026   ·   Topics 46 – 50</t>
  </si>
  <si>
    <t>ASP.NET Core Web API – Model Binding</t>
  </si>
  <si>
    <t>Model Binding in ASP.NET Core Web API</t>
  </si>
  <si>
    <t>27-May-2026</t>
  </si>
  <si>
    <t>Model Binding using FromForm in ASP.NET Core Web API</t>
  </si>
  <si>
    <t>Model Binding using FromQuery in ASP.NET Core Web API</t>
  </si>
  <si>
    <t>Model Binding Using FromRoute in ASP.NET Core Web API</t>
  </si>
  <si>
    <t>Model Binding Using FromHeader in ASP.NET Core Web API</t>
  </si>
  <si>
    <t xml:space="preserve">   📅  Day 11  —  Thursday, 28 May 2026   ·   Topics 51 – 55</t>
  </si>
  <si>
    <t>Model Binding Using FromBody in ASP.NET Core Web API</t>
  </si>
  <si>
    <t>28-May-2026</t>
  </si>
  <si>
    <t>Custom Model Binding in ASP.NET Core Web API</t>
  </si>
  <si>
    <t>How to Apply Binding Attributes to Model Properties in ASP.NET Core Web API</t>
  </si>
  <si>
    <t>Content Negotiation in ASP.NET Core Web API</t>
  </si>
  <si>
    <t>Produces and Consumes Attributes in ASP.NET Core Web API</t>
  </si>
  <si>
    <t xml:space="preserve">   📅  Day 12  —  Friday, 29 May 2026   ·   Topics 56 – 60</t>
  </si>
  <si>
    <t>Exclude Properties from Model Binding in ASP.NET Core Web API</t>
  </si>
  <si>
    <t>29-May-2026</t>
  </si>
  <si>
    <t>Validation using Data Annotations in ASP.NET Core Web API</t>
  </si>
  <si>
    <t>ASP.NET Core Web API – Entity Framework Core</t>
  </si>
  <si>
    <t>A Brief Introduction to Entity Framework Core</t>
  </si>
  <si>
    <t>Entity Framework Core in ASP.NET Core Web API with SQL Server</t>
  </si>
  <si>
    <t>Entity States in Entity Framework Core</t>
  </si>
  <si>
    <t xml:space="preserve">   📅  Day 13  —  Saturday, 30 May 2026   ·   Topics 61 – 65</t>
  </si>
  <si>
    <t>Relationships in Entity Framework Core</t>
  </si>
  <si>
    <t>30-May-2026</t>
  </si>
  <si>
    <t>Lazy Loading in Entity Framework Core</t>
  </si>
  <si>
    <t>Eager Loading in Entity Framework Core</t>
  </si>
  <si>
    <t>Explicit Loading in Entity Framework Core</t>
  </si>
  <si>
    <t>Default Conventions in EF Core</t>
  </si>
  <si>
    <t xml:space="preserve">   📅  Day 14  —  Sunday, 31 May 2026   ·   Topics 66 – 70</t>
  </si>
  <si>
    <t>Data Annotation Attributes in EF Core</t>
  </si>
  <si>
    <t>31-May-2026</t>
  </si>
  <si>
    <t>Fluent API Configurations in EF Core</t>
  </si>
  <si>
    <t>Fluent API Global Configurations in EF Core</t>
  </si>
  <si>
    <t>Fluent API Entity Configurations in EF Core</t>
  </si>
  <si>
    <t>Fluent API Property Configuration in EF Core</t>
  </si>
  <si>
    <t xml:space="preserve">   📅  Day 15  —  Monday, 01 June 2026   ·   Topics 71 – 75</t>
  </si>
  <si>
    <t>EF Core Inheritance</t>
  </si>
  <si>
    <t>01-Jun-2026</t>
  </si>
  <si>
    <t>EF Core Transactions</t>
  </si>
  <si>
    <t>Entity Framework Core with Stored Procedures</t>
  </si>
  <si>
    <t>EF Core Database First Approach</t>
  </si>
  <si>
    <t>Auto Mapping – ASP.NET Core Web API</t>
  </si>
  <si>
    <t>Automapper in ASP.NET Core Web API</t>
  </si>
  <si>
    <t xml:space="preserve">   📅  Day 16  —  Tuesday, 02 June 2026   ·   Topics 76 – 80</t>
  </si>
  <si>
    <t>Automapper Complex Type Mapping in ASP.NET Core Web API</t>
  </si>
  <si>
    <t>02-Jun-2026</t>
  </si>
  <si>
    <t>Mapping Complex Type to Primitive Type using AutoMapper in ASP.NET Core Web API</t>
  </si>
  <si>
    <t>Automapper Reverse Mapping in ASP.NET Core Web API</t>
  </si>
  <si>
    <t>Automapper Conditional Mapping in ASP.NET Core Web API</t>
  </si>
  <si>
    <t>Ignore Property Mapping using Automapper in ASP.NET Core Web API</t>
  </si>
  <si>
    <t xml:space="preserve">   📅  Day 17  —  Wednesday, 03 June 2026   ·   Topics 81 – 85</t>
  </si>
  <si>
    <t>Automapper Null Substitution in ASP.NET Core Web API</t>
  </si>
  <si>
    <t>03-Jun-2026</t>
  </si>
  <si>
    <t>AutoMapper Advanced Concepts in ASP.NET Core Web API</t>
  </si>
  <si>
    <t>AutoMapper Real-time Example in ASP.NET Core Web API</t>
  </si>
  <si>
    <t>Mapperly in ASP.NET Core Web API</t>
  </si>
  <si>
    <t>Mapperly Real-time Example in ASP.NET Core Web API</t>
  </si>
  <si>
    <t xml:space="preserve">   📅  Day 18  —  Thursday, 04 June 2026   ·   Topics 86 – 90</t>
  </si>
  <si>
    <t>HTTP Methods in ASP.NET Core Web API</t>
  </si>
  <si>
    <t>04-Jun-2026</t>
  </si>
  <si>
    <t>HTTP GET Method in ASP.NET Core Web API</t>
  </si>
  <si>
    <t>HTTP Post Method in ASP.NET Core Web API</t>
  </si>
  <si>
    <t>HTTP PUT Method in ASP.NET Core Web API</t>
  </si>
  <si>
    <t>HTTP PATCH Method in ASP.NET Core Web API</t>
  </si>
  <si>
    <t xml:space="preserve">   📅  Day 19  —  Friday, 05 June 2026   ·   Topics 91 – 95</t>
  </si>
  <si>
    <t>HTTP DELETE Method in ASP.NET Core Web API</t>
  </si>
  <si>
    <t>05-Jun-2026</t>
  </si>
  <si>
    <t>HTTP HEAD Method in ASP.NET Core Web API</t>
  </si>
  <si>
    <t>HTTP OPTIONS Method in ASP.NET Core Web API</t>
  </si>
  <si>
    <t>Logging – ASP.NET Core Web API</t>
  </si>
  <si>
    <t>Logging in ASP.NET Core Web API</t>
  </si>
  <si>
    <t>Custom Logging Provider in ASP.NET Core Web API</t>
  </si>
  <si>
    <t xml:space="preserve">   📅  Day 20  —  Saturday, 06 June 2026   ·   Topics 96 – 100</t>
  </si>
  <si>
    <t>How to Implement Serilog in ASP.NET Core Web API</t>
  </si>
  <si>
    <t>06-Jun-2026</t>
  </si>
  <si>
    <t>Serilog, Elasticsearch, and Kibana in ASP.NET Core Web API</t>
  </si>
  <si>
    <t>How to Implement Logging using nLog in ASP.NET Core Web API</t>
  </si>
  <si>
    <t>Logging to Database using NLog in ASP.NET Core Web API</t>
  </si>
  <si>
    <t>Serilog vs NLog in ASP.NET Core Web API</t>
  </si>
  <si>
    <t xml:space="preserve">   📅  Day 21  —  Sunday, 07 June 2026   ·   Topics 101 – 105</t>
  </si>
  <si>
    <t>Caching – ASP.NET Core Web API</t>
  </si>
  <si>
    <t>Caching in ASP.NET Core Web API</t>
  </si>
  <si>
    <t>07-Jun-2026</t>
  </si>
  <si>
    <t>In-Memory Caching in ASP.NET Core Web API</t>
  </si>
  <si>
    <t>Custom In-Memory Cache in ASP.NET Core</t>
  </si>
  <si>
    <t>How to Implement Redis Cache in ASP.NET Core</t>
  </si>
  <si>
    <t>In-Memory Caching vs Distributed Caching in ASP.NET Core</t>
  </si>
  <si>
    <t xml:space="preserve">   📅  Day 22  —  Monday, 08 June 2026   ·   Topics 106 – 110</t>
  </si>
  <si>
    <t>NCache Cluster and Its Types in Distributed Caching</t>
  </si>
  <si>
    <t>08-Jun-2026</t>
  </si>
  <si>
    <t>How to Download and Install NCache in Windows</t>
  </si>
  <si>
    <t>How to Implement NCache in ASP.NET Core Web API</t>
  </si>
  <si>
    <t>Response Caching in ASP.NET Core Web API</t>
  </si>
  <si>
    <t>Fluent Validations – ASP.NET Core Web API</t>
  </si>
  <si>
    <t>Fluent API Validation in ASP.NET Core Web API</t>
  </si>
  <si>
    <t xml:space="preserve">   📅  Day 23  —  Tuesday, 09 June 2026   ·   Topics 111 – 115</t>
  </si>
  <si>
    <t>Fluent API Async Validators in ASP.NET Core Web API</t>
  </si>
  <si>
    <t>09-Jun-2026</t>
  </si>
  <si>
    <t>Fluent API Custom Validators in ASP.NET Core Web API</t>
  </si>
  <si>
    <t>Fluent API Conditional Validations in ASP.NET Core Web API</t>
  </si>
  <si>
    <t>Validate Nested Complex or Collection Property using Fluent API</t>
  </si>
  <si>
    <t>Filters – ASP.NET Core Web API</t>
  </si>
  <si>
    <t>Filters in ASP.NET Core Web API</t>
  </si>
  <si>
    <t xml:space="preserve">   📅  Day 24  —  Wednesday, 10 June 2026   ·   Topics 116 – 120</t>
  </si>
  <si>
    <t>Authorization Filters in ASP.NET Core Web API</t>
  </si>
  <si>
    <t>10-Jun-2026</t>
  </si>
  <si>
    <t>Custom Authorization Filter in ASP.NET Core Web API</t>
  </si>
  <si>
    <t>Resource Filters in ASP.NET Core Web API</t>
  </si>
  <si>
    <t>Action Filters in ASP.NET Core Web API</t>
  </si>
  <si>
    <t>Result Filters in ASP.NET Core Web API</t>
  </si>
  <si>
    <t xml:space="preserve">   📅  Day 25  —  Thursday, 11 June 2026   ·   Topics 121 – 125</t>
  </si>
  <si>
    <t>Exception Filters in ASP.NET Core Web API</t>
  </si>
  <si>
    <t>11-Jun-2026</t>
  </si>
  <si>
    <t>ServiceFilter vs TypeFilter in ASP.NET Core Web API</t>
  </si>
  <si>
    <t>ASP.NET Core Request Processing Life Cycle</t>
  </si>
  <si>
    <t>Security – ASP.NET Core Web API</t>
  </si>
  <si>
    <t>How to Store Password in Hash Format in ASP.NET Core Web API</t>
  </si>
  <si>
    <t>HMAC Authentication in ASP.NET Core Web API</t>
  </si>
  <si>
    <t xml:space="preserve">   📅  Day 26  —  Friday, 12 June 2026   ·   Topics 126 – 130</t>
  </si>
  <si>
    <t>Encryption and Decryption in ASP.NET Core Web API</t>
  </si>
  <si>
    <t>12-Jun-2026</t>
  </si>
  <si>
    <t>Asymmetric Encryption in ASP.NET Core Web API</t>
  </si>
  <si>
    <t>Authentication and Authorization in Web APIs</t>
  </si>
  <si>
    <t>Basic Authentication in ASP.NET Core Web API</t>
  </si>
  <si>
    <t>Role-Based Basic Authentication in ASP.NET Core Web API</t>
  </si>
  <si>
    <t xml:space="preserve">   📅  Day 27  —  Saturday, 13 June 2026   ·   Topics 131 – 135</t>
  </si>
  <si>
    <t>JWT Authentication in ASP.NET Core</t>
  </si>
  <si>
    <t>13-Jun-2026</t>
  </si>
  <si>
    <t>CORS in ASP.NET Core Web API</t>
  </si>
  <si>
    <t>JWT Authentication in ASP.NET Core Web API</t>
  </si>
  <si>
    <t>Resource Server and Client Applications with JWT Authentication</t>
  </si>
  <si>
    <t>Refresh Token in ASP.NET Core Web API using JWT Authentication</t>
  </si>
  <si>
    <t xml:space="preserve">   📅  Day 28  —  Sunday, 14 June 2026   ·   Topics 136 – 140</t>
  </si>
  <si>
    <t>Revoke Refresh Tokens in JWT-Based Token Authentication</t>
  </si>
  <si>
    <t>14-Jun-2026</t>
  </si>
  <si>
    <t>Role Based JWT Authentication in ASP.NET Core Web API</t>
  </si>
  <si>
    <t>SSO Implementation</t>
  </si>
  <si>
    <t>SSO Authentication in ASP.NET Core Web API</t>
  </si>
  <si>
    <t>Authentication Server using ASP.NET Core Web API</t>
  </si>
  <si>
    <t>Resource Server using ASP.NET Core Web API</t>
  </si>
  <si>
    <t xml:space="preserve">   📅  Day 29  —  Monday, 15 June 2026   ·   Topics 141 – 145</t>
  </si>
  <si>
    <t>Client Application One using ASP.NET Core MVC</t>
  </si>
  <si>
    <t>15-Jun-2026</t>
  </si>
  <si>
    <t>Client Application Two using ASP.NET Core MVC</t>
  </si>
  <si>
    <t>API Versioning in ASP.NET Core</t>
  </si>
  <si>
    <t>ASP.NET Core Web API Versioning</t>
  </si>
  <si>
    <t>ASP.NET Core Web API Versioning using Query String</t>
  </si>
  <si>
    <t>ASP.NET Core Web API Versioning using URL Path</t>
  </si>
  <si>
    <t xml:space="preserve">   📅  Day 30  —  Tuesday, 16 June 2026   ·   Topics 146 – 150</t>
  </si>
  <si>
    <t>Header Versioning in ASP.NET Core Web API</t>
  </si>
  <si>
    <t>16-Jun-2026</t>
  </si>
  <si>
    <t>Media Type Versioning in ASP.NET Core Web API</t>
  </si>
  <si>
    <t>Repository Pattern in ASP.NET Core Web API</t>
  </si>
  <si>
    <t>Introduction to Repository Pattern in ASP.NET Core Web API</t>
  </si>
  <si>
    <t>Start Without Using Repository Pattern in ASP.NET Core Web API</t>
  </si>
  <si>
    <t>Implementing Non-Generic Repository Pattern in ASP.NET Core Web API</t>
  </si>
  <si>
    <t xml:space="preserve">   📅  Day 31  —  Wednesday, 17 June 2026   ·   Topics 151 – 155</t>
  </si>
  <si>
    <t>Implementing Generic Repository Pattern in ASP.NET Core Web API</t>
  </si>
  <si>
    <t>17-Jun-2026</t>
  </si>
  <si>
    <t>Combining Generic and Non-Generic Repositories in ASP.NET Core Web API</t>
  </si>
  <si>
    <t>Unit of Work with Repository Pattern in ASP.NET Core Web API</t>
  </si>
  <si>
    <t>Unit Testing – ASP.NET Core Web API</t>
  </si>
  <si>
    <t>Introduction to Unit Testing in ASP.NET Core</t>
  </si>
  <si>
    <t>Real-time ASP.NET Core Project Development for Unit Testing</t>
  </si>
  <si>
    <t xml:space="preserve">   📅  Day 32  —  Thursday, 18 June 2026   ·   Topics 156 – 160</t>
  </si>
  <si>
    <t>Unit Testing Service Layer in ASP.NET Core Web API</t>
  </si>
  <si>
    <t>18-Jun-2026</t>
  </si>
  <si>
    <t>Unit Testing Controllers in ASP.NET Core Web API</t>
  </si>
  <si>
    <t>Unit Testing Repositories in ASP.NET Core Web API</t>
  </si>
  <si>
    <t>Integration Testing in ASP.NET Core Web API</t>
  </si>
  <si>
    <t>Test Driven Development in ASP.NET Core Web API</t>
  </si>
  <si>
    <t xml:space="preserve">   📅  Day 33  —  Friday, 19 June 2026   ·   Topics 161 – 165</t>
  </si>
  <si>
    <t>xUnit Framework Theory Attribute in ASP.NET Core</t>
  </si>
  <si>
    <t>19-Jun-2026</t>
  </si>
  <si>
    <t>Asynchronous Tests using xUnit Framework in ASP.NET Core</t>
  </si>
  <si>
    <t>Fluent Assertions with xUnit Framework in ASP.NET Core</t>
  </si>
  <si>
    <t>Minimal API – ASP.NET Core</t>
  </si>
  <si>
    <t>Minimal API in ASP.NET Core</t>
  </si>
  <si>
    <t>Error Handling and Logging in ASP.NET Core Minimal API</t>
  </si>
  <si>
    <t xml:space="preserve">   📅  Day 34  —  Saturday, 20 June 2026   ·   Topics 166 – 170</t>
  </si>
  <si>
    <t>Asynchronous Programming in ASP.NET Core Minimal API</t>
  </si>
  <si>
    <t>20-Jun-2026</t>
  </si>
  <si>
    <t>ASP.NET Core Minimal API using Entity Framework Core</t>
  </si>
  <si>
    <t>Endpoint Filters in ASP.NET Core Minimal API</t>
  </si>
  <si>
    <t>JWT Authentication in ASP.NET Core Minimal API</t>
  </si>
  <si>
    <t>API Versioning in ASP.NET Core Minimal API</t>
  </si>
  <si>
    <t xml:space="preserve">   📅  Day 35  —  Sunday, 21 June 2026   ·   Topics 171 – 175</t>
  </si>
  <si>
    <t>ASP.NET Core Web API – Advanced Concepts</t>
  </si>
  <si>
    <t>1XX HTTP Status Codes in ASP.NET Core Web API</t>
  </si>
  <si>
    <t>21-Jun-2026</t>
  </si>
  <si>
    <t>2XX HTTP Status Codes in ASP.NET Core Web API</t>
  </si>
  <si>
    <t>3XX HTTP Status Codes in ASP.NET Core Web API</t>
  </si>
  <si>
    <t>4XX HTTP Status Codes in ASP.NET Core Web API</t>
  </si>
  <si>
    <t>5XX HTTP Status Codes in ASP.NET Core Web API</t>
  </si>
  <si>
    <t xml:space="preserve">   📅  Day 36  —  Monday, 22 June 2026   ·   Topics 176 – 176</t>
  </si>
  <si>
    <t>ApiController Attribute in ASP.NET Core Web API</t>
  </si>
  <si>
    <t>22-Jun-2026</t>
  </si>
  <si>
    <t>📊  ASP.NET Core Web API — Progress Dashboard</t>
  </si>
  <si>
    <t>TOTAL
TOPICS</t>
  </si>
  <si>
    <t>✅  DONE</t>
  </si>
  <si>
    <t>🔄  IN PROGRESS</t>
  </si>
  <si>
    <t>⬜  REMAINING</t>
  </si>
  <si>
    <t>176</t>
  </si>
  <si>
    <t xml:space="preserve">  📈  OVERALL COMPLETION RATE</t>
  </si>
  <si>
    <t xml:space="preserve">  SECTION-WISE PROGRESS</t>
  </si>
  <si>
    <t>Topics</t>
  </si>
  <si>
    <t>Done ✅</t>
  </si>
  <si>
    <t>In Progress 🔄</t>
  </si>
  <si>
    <t>Paused ⏸</t>
  </si>
  <si>
    <t>Skipped ❌</t>
  </si>
  <si>
    <t>Remaining ⬜</t>
  </si>
  <si>
    <t>TOTAL</t>
  </si>
  <si>
    <t>💡  Update Status in '📚 Study Plan' sheet → Dashboard auto-refreshes  |  5 Topics/Day → Complete in just 36 days!</t>
  </si>
  <si>
    <t>📋  All Sections at a Glance</t>
  </si>
  <si>
    <t>Days Needed</t>
  </si>
  <si>
    <t>Topic Range</t>
  </si>
  <si>
    <t>Topic 1 – 19</t>
  </si>
  <si>
    <t>Topic 20 – 26</t>
  </si>
  <si>
    <t>Topic 27 – 45</t>
  </si>
  <si>
    <t>Topic 46 – 57</t>
  </si>
  <si>
    <t>Topic 58 – 74</t>
  </si>
  <si>
    <t>Topic 75 – 85</t>
  </si>
  <si>
    <t>Topic 86 – 93</t>
  </si>
  <si>
    <t>Topic 94 – 100</t>
  </si>
  <si>
    <t>Topic 101 – 109</t>
  </si>
  <si>
    <t>Topic 110 – 114</t>
  </si>
  <si>
    <t>Topic 115 – 123</t>
  </si>
  <si>
    <t>Topic 124 – 137</t>
  </si>
  <si>
    <t>Topic 138 – 142</t>
  </si>
  <si>
    <t>Topic 143 – 147</t>
  </si>
  <si>
    <t>Topic 148 – 153</t>
  </si>
  <si>
    <t>Topic 154 – 163</t>
  </si>
  <si>
    <t>Topic 164 – 170</t>
  </si>
  <si>
    <t>Topic 171 – 176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</si>
</sst>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</numFmts>
  <fonts count="58">
    <font>
      <sz val="11"/>
      <color theme="1"/>
      <name val="Calibri"/>
      <charset val="1"/>
    </font>
    <font>
      <b/>
      <sz val="16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D4E89"/>
      <name val="Arial"/>
      <charset val="1"/>
    </font>
    <font>
      <b/>
      <sz val="9"/>
      <color rgb="FF1A202C"/>
      <name val="Arial"/>
      <charset val="1"/>
    </font>
    <font>
      <sz val="9"/>
      <color rgb="FF1A202C"/>
      <name val="Arial"/>
      <charset val="1"/>
    </font>
    <font>
      <b/>
      <sz val="9"/>
      <color rgb="FF0077B6"/>
      <name val="Arial"/>
      <charset val="1"/>
    </font>
    <font>
      <b/>
      <sz val="9"/>
      <color rgb="FF0096C7"/>
      <name val="Arial"/>
      <charset val="1"/>
    </font>
    <font>
      <b/>
      <sz val="9"/>
      <color rgb="FF00B4D8"/>
      <name val="Arial"/>
      <charset val="1"/>
    </font>
    <font>
      <b/>
      <sz val="9"/>
      <color rgb="FF1B6CA8"/>
      <name val="Arial"/>
      <charset val="1"/>
    </font>
    <font>
      <b/>
      <sz val="9"/>
      <color rgb="FF2E86AB"/>
      <name val="Arial"/>
      <charset val="1"/>
    </font>
    <font>
      <b/>
      <sz val="9"/>
      <color rgb="FF48CAE4"/>
      <name val="Arial"/>
      <charset val="1"/>
    </font>
    <font>
      <b/>
      <sz val="9"/>
      <color rgb="FF1565C0"/>
      <name val="Arial"/>
      <charset val="1"/>
    </font>
    <font>
      <b/>
      <sz val="9"/>
      <color rgb="FF0D47A1"/>
      <name val="Arial"/>
      <charset val="1"/>
    </font>
    <font>
      <b/>
      <sz val="9"/>
      <color rgb="FF283593"/>
      <name val="Arial"/>
      <charset val="1"/>
    </font>
    <font>
      <b/>
      <sz val="9"/>
      <color rgb="FF4A148C"/>
      <name val="Arial"/>
      <charset val="1"/>
    </font>
    <font>
      <b/>
      <sz val="9"/>
      <color rgb="FF880E4F"/>
      <name val="Arial"/>
      <charset val="1"/>
    </font>
    <font>
      <b/>
      <sz val="9"/>
      <color rgb="FFBF360C"/>
      <name val="Arial"/>
      <charset val="1"/>
    </font>
    <font>
      <b/>
      <sz val="9"/>
      <color rgb="FFE65100"/>
      <name val="Arial"/>
      <charset val="1"/>
    </font>
    <font>
      <b/>
      <sz val="9"/>
      <color rgb="FF2E7D32"/>
      <name val="Arial"/>
      <charset val="1"/>
    </font>
    <font>
      <b/>
      <sz val="10"/>
      <color rgb="FFFFFFFF"/>
      <name val="Arial"/>
      <charset val="1"/>
    </font>
    <font>
      <b/>
      <sz val="20"/>
      <color rgb="FFFFFFFF"/>
      <name val="Arial"/>
      <charset val="1"/>
    </font>
    <font>
      <b/>
      <sz val="26"/>
      <color rgb="FF2C3E50"/>
      <name val="Arial"/>
      <charset val="1"/>
    </font>
    <font>
      <b/>
      <sz val="26"/>
      <color rgb="FF27AE60"/>
      <name val="Arial"/>
      <charset val="1"/>
    </font>
    <font>
      <b/>
      <sz val="26"/>
      <color rgb="FFE67E22"/>
      <name val="Arial"/>
      <charset val="1"/>
    </font>
    <font>
      <b/>
      <sz val="26"/>
      <color rgb="FF7F8C8D"/>
      <name val="Arial"/>
      <charset val="1"/>
    </font>
    <font>
      <b/>
      <sz val="28"/>
      <color rgb="FF023E8A"/>
      <name val="Arial"/>
      <charset val="1"/>
    </font>
    <font>
      <b/>
      <sz val="9"/>
      <color rgb="FF27AE60"/>
      <name val="Arial"/>
      <charset val="1"/>
    </font>
    <font>
      <b/>
      <sz val="9"/>
      <color rgb="FFE67E22"/>
      <name val="Arial"/>
      <charset val="1"/>
    </font>
    <font>
      <sz val="9"/>
      <color rgb="FF8E44AD"/>
      <name val="Arial"/>
      <charset val="1"/>
    </font>
    <font>
      <sz val="9"/>
      <color rgb="FFE74C3C"/>
      <name val="Arial"/>
      <charset val="1"/>
    </font>
    <font>
      <sz val="9"/>
      <color rgb="FF7F8C8D"/>
      <name val="Arial"/>
      <charset val="1"/>
    </font>
    <font>
      <i/>
      <sz val="9"/>
      <color rgb="FF0096C7"/>
      <name val="Arial"/>
      <charset val="1"/>
    </font>
    <font>
      <b/>
      <sz val="18"/>
      <color rgb="FFFFFFFF"/>
      <name val="Arial"/>
      <charset val="1"/>
    </font>
    <font>
      <sz val="9"/>
      <color rgb="FFFFFFFF"/>
      <name val="Arial"/>
      <charset val="1"/>
    </font>
    <font>
      <i/>
      <sz val="9"/>
      <color rgb="FF1A5276"/>
      <name val="Arial"/>
      <charset val="1"/>
    </font>
    <font>
      <sz val="9"/>
      <color rgb="FF64748B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1A2332"/>
        <bgColor rgb="FF1A202C"/>
      </patternFill>
    </fill>
    <fill>
      <patternFill patternType="solid">
        <fgColor rgb="FF023E8A"/>
        <bgColor rgb="FF0D47A1"/>
      </patternFill>
    </fill>
    <fill>
      <patternFill patternType="solid">
        <fgColor rgb="FF1D4E89"/>
        <bgColor rgb="FF1A5276"/>
      </patternFill>
    </fill>
    <fill>
      <patternFill patternType="solid">
        <fgColor rgb="FFEBF5FB"/>
        <bgColor rgb="FFF0F7FF"/>
      </patternFill>
    </fill>
    <fill>
      <patternFill patternType="solid">
        <fgColor rgb="FF0077B6"/>
        <bgColor rgb="FF1B6CA8"/>
      </patternFill>
    </fill>
    <fill>
      <patternFill patternType="solid">
        <fgColor rgb="FFF8FAFC"/>
        <bgColor rgb="FFFAFAFA"/>
      </patternFill>
    </fill>
    <fill>
      <patternFill patternType="solid">
        <fgColor rgb="FF0096C7"/>
        <bgColor rgb="FF00B4D8"/>
      </patternFill>
    </fill>
    <fill>
      <patternFill patternType="solid">
        <fgColor rgb="FF00B4D8"/>
        <bgColor rgb="FF0096C7"/>
      </patternFill>
    </fill>
    <fill>
      <patternFill patternType="solid">
        <fgColor rgb="FF1B6CA8"/>
        <bgColor rgb="FF1565C0"/>
      </patternFill>
    </fill>
    <fill>
      <patternFill patternType="solid">
        <fgColor rgb="FF2E86AB"/>
        <bgColor rgb="FF1B6CA8"/>
      </patternFill>
    </fill>
    <fill>
      <patternFill patternType="solid">
        <fgColor rgb="FF48CAE4"/>
        <bgColor rgb="FF00B4D8"/>
      </patternFill>
    </fill>
    <fill>
      <patternFill patternType="solid">
        <fgColor rgb="FF1565C0"/>
        <bgColor rgb="FF1B6CA8"/>
      </patternFill>
    </fill>
    <fill>
      <patternFill patternType="solid">
        <fgColor rgb="FF0D47A1"/>
        <bgColor rgb="FF0F4C81"/>
      </patternFill>
    </fill>
    <fill>
      <patternFill patternType="solid">
        <fgColor rgb="FF283593"/>
        <bgColor rgb="FF1D4E89"/>
      </patternFill>
    </fill>
    <fill>
      <patternFill patternType="solid">
        <fgColor rgb="FF4A148C"/>
        <bgColor rgb="FF283593"/>
      </patternFill>
    </fill>
    <fill>
      <patternFill patternType="solid">
        <fgColor rgb="FF880E4F"/>
        <bgColor rgb="FF800080"/>
      </patternFill>
    </fill>
    <fill>
      <patternFill patternType="solid">
        <fgColor rgb="FFBF360C"/>
        <bgColor rgb="FFE65100"/>
      </patternFill>
    </fill>
    <fill>
      <patternFill patternType="solid">
        <fgColor rgb="FFE65100"/>
        <bgColor rgb="FFE74C3C"/>
      </patternFill>
    </fill>
    <fill>
      <patternFill patternType="solid">
        <fgColor rgb="FF2E7D32"/>
        <bgColor rgb="FF145A32"/>
      </patternFill>
    </fill>
    <fill>
      <patternFill patternType="solid">
        <fgColor rgb="FF2C3E50"/>
        <bgColor rgb="FF1A5276"/>
      </patternFill>
    </fill>
    <fill>
      <patternFill patternType="solid">
        <fgColor rgb="FF27AE60"/>
        <bgColor rgb="FF2E86AB"/>
      </patternFill>
    </fill>
    <fill>
      <patternFill patternType="solid">
        <fgColor rgb="FFE67E22"/>
        <bgColor rgb="FFE65100"/>
      </patternFill>
    </fill>
    <fill>
      <patternFill patternType="solid">
        <fgColor rgb="FF7F8C8D"/>
        <bgColor rgb="FF969696"/>
      </patternFill>
    </fill>
    <fill>
      <patternFill patternType="solid">
        <fgColor rgb="FFD6EEF8"/>
        <bgColor rgb="FFE8EDF2"/>
      </patternFill>
    </fill>
    <fill>
      <patternFill patternType="solid">
        <fgColor rgb="FF0F4C81"/>
        <bgColor rgb="FF1D4E89"/>
      </patternFill>
    </fill>
    <fill>
      <patternFill patternType="solid">
        <fgColor rgb="FF145A32"/>
        <bgColor rgb="FF1A5276"/>
      </patternFill>
    </fill>
    <fill>
      <patternFill patternType="solid">
        <fgColor rgb="FFF0F7FF"/>
        <bgColor rgb="FFEBF5FB"/>
      </patternFill>
    </fill>
    <fill>
      <patternFill patternType="solid">
        <fgColor rgb="FFF0FFF0"/>
        <bgColor rgb="FFF8FAFC"/>
      </patternFill>
    </fill>
    <fill>
      <patternFill patternType="solid">
        <fgColor rgb="FFFFF8E1"/>
        <bgColor rgb="FFFAFAFA"/>
      </patternFill>
    </fill>
    <fill>
      <patternFill patternType="solid">
        <fgColor rgb="FFFDF2F8"/>
        <bgColor rgb="FFFAFAFA"/>
      </patternFill>
    </fill>
    <fill>
      <patternFill patternType="solid">
        <fgColor rgb="FFFAFAFA"/>
        <bgColor rgb="FFF8FA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 style="thin">
        <color rgb="FFD0D7E2"/>
      </left>
      <right/>
      <top style="thin">
        <color rgb="FFD0D7E2"/>
      </top>
      <bottom style="thin">
        <color rgb="FFD0D7E2"/>
      </bottom>
      <diagonal/>
    </border>
    <border>
      <left style="medium">
        <color rgb="FFFFFFFF"/>
      </left>
      <right style="medium">
        <color rgb="FFFFFFFF"/>
      </right>
      <top style="thin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1D4E89"/>
      </left>
      <right style="medium">
        <color rgb="FF1D4E89"/>
      </right>
      <top style="thin">
        <color rgb="FF1D4E89"/>
      </top>
      <bottom style="thin">
        <color rgb="FF1D4E89"/>
      </bottom>
      <diagonal/>
    </border>
    <border>
      <left style="thin">
        <color rgb="FFD0D7E2"/>
      </left>
      <right style="thin">
        <color rgb="FFD0D7E2"/>
      </right>
      <top style="thin">
        <color rgb="FFE8EDF2"/>
      </top>
      <bottom style="thin">
        <color rgb="FFE8EDF2"/>
      </bottom>
      <diagonal/>
    </border>
    <border>
      <left style="thin">
        <color rgb="FFD0D7E2"/>
      </left>
      <right style="medium">
        <color rgb="FFD0D7E2"/>
      </right>
      <top style="thin">
        <color rgb="FFE8EDF2"/>
      </top>
      <bottom style="thin">
        <color rgb="FFE8EDF2"/>
      </bottom>
      <diagonal/>
    </border>
    <border>
      <left style="medium">
        <color rgb="FF0077B6"/>
      </left>
      <right style="medium">
        <color rgb="FF0077B6"/>
      </right>
      <top style="thin">
        <color rgb="FF0077B6"/>
      </top>
      <bottom style="thin">
        <color rgb="FF0077B6"/>
      </bottom>
      <diagonal/>
    </border>
    <border>
      <left style="medium">
        <color rgb="FF0096C7"/>
      </left>
      <right style="medium">
        <color rgb="FF0096C7"/>
      </right>
      <top style="thin">
        <color rgb="FF0096C7"/>
      </top>
      <bottom style="thin">
        <color rgb="FF0096C7"/>
      </bottom>
      <diagonal/>
    </border>
    <border>
      <left style="medium">
        <color rgb="FF00B4D8"/>
      </left>
      <right style="medium">
        <color rgb="FF00B4D8"/>
      </right>
      <top style="thin">
        <color rgb="FF00B4D8"/>
      </top>
      <bottom style="thin">
        <color rgb="FF00B4D8"/>
      </bottom>
      <diagonal/>
    </border>
    <border>
      <left style="medium">
        <color rgb="FF1B6CA8"/>
      </left>
      <right style="medium">
        <color rgb="FF1B6CA8"/>
      </right>
      <top style="thin">
        <color rgb="FF1B6CA8"/>
      </top>
      <bottom style="thin">
        <color rgb="FF1B6CA8"/>
      </bottom>
      <diagonal/>
    </border>
    <border>
      <left style="medium">
        <color rgb="FF2E86AB"/>
      </left>
      <right style="medium">
        <color rgb="FF2E86AB"/>
      </right>
      <top style="thin">
        <color rgb="FF2E86AB"/>
      </top>
      <bottom style="thin">
        <color rgb="FF2E86AB"/>
      </bottom>
      <diagonal/>
    </border>
    <border>
      <left style="medium">
        <color rgb="FF48CAE4"/>
      </left>
      <right style="medium">
        <color rgb="FF48CAE4"/>
      </right>
      <top style="thin">
        <color rgb="FF48CAE4"/>
      </top>
      <bottom style="thin">
        <color rgb="FF48CAE4"/>
      </bottom>
      <diagonal/>
    </border>
    <border>
      <left style="medium">
        <color rgb="FF1565C0"/>
      </left>
      <right style="medium">
        <color rgb="FF1565C0"/>
      </right>
      <top style="thin">
        <color rgb="FF1565C0"/>
      </top>
      <bottom style="thin">
        <color rgb="FF1565C0"/>
      </bottom>
      <diagonal/>
    </border>
    <border>
      <left style="medium">
        <color rgb="FF0D47A1"/>
      </left>
      <right style="medium">
        <color rgb="FF0D47A1"/>
      </right>
      <top style="thin">
        <color rgb="FF0D47A1"/>
      </top>
      <bottom style="thin">
        <color rgb="FF0D47A1"/>
      </bottom>
      <diagonal/>
    </border>
    <border>
      <left style="medium">
        <color rgb="FF283593"/>
      </left>
      <right style="medium">
        <color rgb="FF283593"/>
      </right>
      <top style="thin">
        <color rgb="FF283593"/>
      </top>
      <bottom style="thin">
        <color rgb="FF283593"/>
      </bottom>
      <diagonal/>
    </border>
    <border>
      <left style="medium">
        <color rgb="FF4A148C"/>
      </left>
      <right style="medium">
        <color rgb="FF4A148C"/>
      </right>
      <top style="thin">
        <color rgb="FF4A148C"/>
      </top>
      <bottom style="thin">
        <color rgb="FF4A148C"/>
      </bottom>
      <diagonal/>
    </border>
    <border>
      <left style="medium">
        <color rgb="FF880E4F"/>
      </left>
      <right style="medium">
        <color rgb="FF880E4F"/>
      </right>
      <top style="thin">
        <color rgb="FF880E4F"/>
      </top>
      <bottom style="thin">
        <color rgb="FF880E4F"/>
      </bottom>
      <diagonal/>
    </border>
    <border>
      <left style="medium">
        <color rgb="FFBF360C"/>
      </left>
      <right style="medium">
        <color rgb="FFBF360C"/>
      </right>
      <top style="thin">
        <color rgb="FFBF360C"/>
      </top>
      <bottom style="thin">
        <color rgb="FFBF360C"/>
      </bottom>
      <diagonal/>
    </border>
    <border>
      <left style="medium">
        <color rgb="FFE65100"/>
      </left>
      <right style="medium">
        <color rgb="FFE65100"/>
      </right>
      <top style="thin">
        <color rgb="FFE65100"/>
      </top>
      <bottom style="thin">
        <color rgb="FFE65100"/>
      </bottom>
      <diagonal/>
    </border>
    <border>
      <left style="medium">
        <color rgb="FF2E7D32"/>
      </left>
      <right style="medium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7" fillId="0" borderId="0" applyBorder="0" applyAlignment="0" applyProtection="0"/>
    <xf numFmtId="44" fontId="37" fillId="0" borderId="0" applyBorder="0" applyAlignment="0" applyProtection="0"/>
    <xf numFmtId="9" fontId="37" fillId="0" borderId="0" applyBorder="0" applyAlignment="0" applyProtection="0"/>
    <xf numFmtId="41" fontId="37" fillId="0" borderId="0" applyBorder="0" applyAlignment="0" applyProtection="0"/>
    <xf numFmtId="42" fontId="37" fillId="0" borderId="0" applyBorder="0" applyAlignment="0" applyProtection="0"/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33" borderId="22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5" fillId="0" borderId="23" applyNumberFormat="0" applyFill="0" applyAlignment="0" applyProtection="0">
      <alignment vertical="center"/>
    </xf>
    <xf numFmtId="0" fontId="46" fillId="0" borderId="24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34" borderId="25" applyNumberFormat="0" applyAlignment="0" applyProtection="0">
      <alignment vertical="center"/>
    </xf>
    <xf numFmtId="0" fontId="48" fillId="35" borderId="26" applyNumberFormat="0" applyAlignment="0" applyProtection="0">
      <alignment vertical="center"/>
    </xf>
    <xf numFmtId="0" fontId="49" fillId="35" borderId="25" applyNumberFormat="0" applyAlignment="0" applyProtection="0">
      <alignment vertical="center"/>
    </xf>
    <xf numFmtId="0" fontId="50" fillId="36" borderId="27" applyNumberFormat="0" applyAlignment="0" applyProtection="0">
      <alignment vertical="center"/>
    </xf>
    <xf numFmtId="0" fontId="51" fillId="0" borderId="28" applyNumberFormat="0" applyFill="0" applyAlignment="0" applyProtection="0">
      <alignment vertical="center"/>
    </xf>
    <xf numFmtId="0" fontId="52" fillId="0" borderId="29" applyNumberFormat="0" applyFill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6" fillId="40" borderId="0" applyNumberFormat="0" applyBorder="0" applyAlignment="0" applyProtection="0">
      <alignment vertical="center"/>
    </xf>
    <xf numFmtId="0" fontId="57" fillId="41" borderId="0" applyNumberFormat="0" applyBorder="0" applyAlignment="0" applyProtection="0">
      <alignment vertical="center"/>
    </xf>
    <xf numFmtId="0" fontId="57" fillId="42" borderId="0" applyNumberFormat="0" applyBorder="0" applyAlignment="0" applyProtection="0">
      <alignment vertical="center"/>
    </xf>
    <xf numFmtId="0" fontId="56" fillId="43" borderId="0" applyNumberFormat="0" applyBorder="0" applyAlignment="0" applyProtection="0">
      <alignment vertical="center"/>
    </xf>
    <xf numFmtId="0" fontId="56" fillId="44" borderId="0" applyNumberFormat="0" applyBorder="0" applyAlignment="0" applyProtection="0">
      <alignment vertical="center"/>
    </xf>
    <xf numFmtId="0" fontId="57" fillId="45" borderId="0" applyNumberFormat="0" applyBorder="0" applyAlignment="0" applyProtection="0">
      <alignment vertical="center"/>
    </xf>
    <xf numFmtId="0" fontId="57" fillId="46" borderId="0" applyNumberFormat="0" applyBorder="0" applyAlignment="0" applyProtection="0">
      <alignment vertical="center"/>
    </xf>
    <xf numFmtId="0" fontId="56" fillId="47" borderId="0" applyNumberFormat="0" applyBorder="0" applyAlignment="0" applyProtection="0">
      <alignment vertical="center"/>
    </xf>
    <xf numFmtId="0" fontId="56" fillId="48" borderId="0" applyNumberFormat="0" applyBorder="0" applyAlignment="0" applyProtection="0">
      <alignment vertical="center"/>
    </xf>
    <xf numFmtId="0" fontId="57" fillId="49" borderId="0" applyNumberFormat="0" applyBorder="0" applyAlignment="0" applyProtection="0">
      <alignment vertical="center"/>
    </xf>
    <xf numFmtId="0" fontId="57" fillId="50" borderId="0" applyNumberFormat="0" applyBorder="0" applyAlignment="0" applyProtection="0">
      <alignment vertical="center"/>
    </xf>
    <xf numFmtId="0" fontId="56" fillId="51" borderId="0" applyNumberFormat="0" applyBorder="0" applyAlignment="0" applyProtection="0">
      <alignment vertical="center"/>
    </xf>
    <xf numFmtId="0" fontId="56" fillId="52" borderId="0" applyNumberFormat="0" applyBorder="0" applyAlignment="0" applyProtection="0">
      <alignment vertical="center"/>
    </xf>
    <xf numFmtId="0" fontId="57" fillId="53" borderId="0" applyNumberFormat="0" applyBorder="0" applyAlignment="0" applyProtection="0">
      <alignment vertical="center"/>
    </xf>
    <xf numFmtId="0" fontId="57" fillId="54" borderId="0" applyNumberFormat="0" applyBorder="0" applyAlignment="0" applyProtection="0">
      <alignment vertical="center"/>
    </xf>
    <xf numFmtId="0" fontId="56" fillId="55" borderId="0" applyNumberFormat="0" applyBorder="0" applyAlignment="0" applyProtection="0">
      <alignment vertical="center"/>
    </xf>
    <xf numFmtId="0" fontId="56" fillId="56" borderId="0" applyNumberFormat="0" applyBorder="0" applyAlignment="0" applyProtection="0">
      <alignment vertical="center"/>
    </xf>
    <xf numFmtId="0" fontId="57" fillId="57" borderId="0" applyNumberFormat="0" applyBorder="0" applyAlignment="0" applyProtection="0">
      <alignment vertical="center"/>
    </xf>
    <xf numFmtId="0" fontId="57" fillId="58" borderId="0" applyNumberFormat="0" applyBorder="0" applyAlignment="0" applyProtection="0">
      <alignment vertical="center"/>
    </xf>
    <xf numFmtId="0" fontId="56" fillId="59" borderId="0" applyNumberFormat="0" applyBorder="0" applyAlignment="0" applyProtection="0">
      <alignment vertical="center"/>
    </xf>
    <xf numFmtId="0" fontId="56" fillId="60" borderId="0" applyNumberFormat="0" applyBorder="0" applyAlignment="0" applyProtection="0">
      <alignment vertical="center"/>
    </xf>
    <xf numFmtId="0" fontId="57" fillId="61" borderId="0" applyNumberFormat="0" applyBorder="0" applyAlignment="0" applyProtection="0">
      <alignment vertical="center"/>
    </xf>
    <xf numFmtId="0" fontId="57" fillId="62" borderId="0" applyNumberFormat="0" applyBorder="0" applyAlignment="0" applyProtection="0">
      <alignment vertical="center"/>
    </xf>
    <xf numFmtId="0" fontId="56" fillId="63" borderId="0" applyNumberFormat="0" applyBorder="0" applyAlignment="0" applyProtection="0">
      <alignment vertical="center"/>
    </xf>
  </cellStyleXfs>
  <cellXfs count="129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7" fillId="5" borderId="1" xfId="0" applyFont="1" applyFill="1" applyBorder="1" applyAlignment="1">
      <alignment horizontal="left" vertical="center" wrapText="1"/>
    </xf>
    <xf numFmtId="0" fontId="0" fillId="9" borderId="1" xfId="0" applyFill="1" applyBorder="1"/>
    <xf numFmtId="0" fontId="8" fillId="7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9" fillId="5" borderId="1" xfId="0" applyFont="1" applyFill="1" applyBorder="1" applyAlignment="1">
      <alignment horizontal="left" vertical="center" wrapText="1"/>
    </xf>
    <xf numFmtId="0" fontId="0" fillId="11" borderId="1" xfId="0" applyFill="1" applyBorder="1"/>
    <xf numFmtId="0" fontId="10" fillId="7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11" fillId="5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12" fillId="7" borderId="1" xfId="0" applyFont="1" applyFill="1" applyBorder="1" applyAlignment="1">
      <alignment horizontal="left" vertical="center" wrapText="1"/>
    </xf>
    <xf numFmtId="0" fontId="0" fillId="14" borderId="1" xfId="0" applyFill="1" applyBorder="1"/>
    <xf numFmtId="0" fontId="13" fillId="5" borderId="1" xfId="0" applyFont="1" applyFill="1" applyBorder="1" applyAlignment="1">
      <alignment horizontal="left" vertical="center" wrapText="1"/>
    </xf>
    <xf numFmtId="0" fontId="0" fillId="15" borderId="1" xfId="0" applyFill="1" applyBorder="1"/>
    <xf numFmtId="0" fontId="14" fillId="7" borderId="1" xfId="0" applyFont="1" applyFill="1" applyBorder="1" applyAlignment="1">
      <alignment horizontal="left" vertical="center" wrapText="1"/>
    </xf>
    <xf numFmtId="0" fontId="0" fillId="16" borderId="1" xfId="0" applyFill="1" applyBorder="1"/>
    <xf numFmtId="0" fontId="15" fillId="5" borderId="1" xfId="0" applyFont="1" applyFill="1" applyBorder="1" applyAlignment="1">
      <alignment horizontal="left" vertical="center" wrapText="1"/>
    </xf>
    <xf numFmtId="0" fontId="0" fillId="17" borderId="1" xfId="0" applyFill="1" applyBorder="1"/>
    <xf numFmtId="0" fontId="16" fillId="7" borderId="1" xfId="0" applyFont="1" applyFill="1" applyBorder="1" applyAlignment="1">
      <alignment horizontal="left" vertical="center" wrapText="1"/>
    </xf>
    <xf numFmtId="0" fontId="0" fillId="18" borderId="1" xfId="0" applyFill="1" applyBorder="1"/>
    <xf numFmtId="0" fontId="17" fillId="5" borderId="1" xfId="0" applyFont="1" applyFill="1" applyBorder="1" applyAlignment="1">
      <alignment horizontal="left" vertical="center" wrapText="1"/>
    </xf>
    <xf numFmtId="0" fontId="0" fillId="19" borderId="1" xfId="0" applyFill="1" applyBorder="1"/>
    <xf numFmtId="0" fontId="18" fillId="7" borderId="1" xfId="0" applyFont="1" applyFill="1" applyBorder="1" applyAlignment="1">
      <alignment horizontal="left" vertical="center" wrapText="1"/>
    </xf>
    <xf numFmtId="0" fontId="0" fillId="20" borderId="1" xfId="0" applyFill="1" applyBorder="1"/>
    <xf numFmtId="0" fontId="19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20" fillId="2" borderId="1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20" fillId="21" borderId="0" xfId="0" applyFont="1" applyFill="1" applyBorder="1" applyAlignment="1">
      <alignment horizontal="center" vertical="center" wrapText="1"/>
    </xf>
    <xf numFmtId="0" fontId="20" fillId="22" borderId="0" xfId="0" applyFont="1" applyFill="1" applyBorder="1" applyAlignment="1">
      <alignment horizontal="center" vertical="center" wrapText="1"/>
    </xf>
    <xf numFmtId="0" fontId="20" fillId="23" borderId="0" xfId="0" applyFont="1" applyFill="1" applyBorder="1" applyAlignment="1">
      <alignment horizontal="center" vertical="center" wrapText="1"/>
    </xf>
    <xf numFmtId="0" fontId="20" fillId="24" borderId="0" xfId="0" applyFont="1" applyFill="1" applyBorder="1" applyAlignment="1">
      <alignment horizontal="center" vertical="center" wrapText="1"/>
    </xf>
    <xf numFmtId="0" fontId="22" fillId="7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0" fillId="3" borderId="0" xfId="0" applyFont="1" applyFill="1" applyBorder="1" applyAlignment="1">
      <alignment horizontal="left" vertical="center"/>
    </xf>
    <xf numFmtId="176" fontId="26" fillId="5" borderId="2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center" vertical="center"/>
    </xf>
    <xf numFmtId="0" fontId="30" fillId="7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left" vertical="center" wrapText="1"/>
    </xf>
    <xf numFmtId="0" fontId="2" fillId="16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center" wrapText="1"/>
    </xf>
    <xf numFmtId="0" fontId="2" fillId="20" borderId="1" xfId="0" applyFont="1" applyFill="1" applyBorder="1" applyAlignment="1">
      <alignment horizontal="left" vertical="center" wrapText="1"/>
    </xf>
    <xf numFmtId="0" fontId="32" fillId="5" borderId="0" xfId="0" applyFont="1" applyFill="1" applyBorder="1" applyAlignment="1">
      <alignment horizontal="center" vertical="center"/>
    </xf>
    <xf numFmtId="0" fontId="33" fillId="2" borderId="0" xfId="0" applyFont="1" applyFill="1" applyBorder="1" applyAlignment="1">
      <alignment horizontal="center" vertical="center"/>
    </xf>
    <xf numFmtId="0" fontId="34" fillId="8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right" vertical="center"/>
    </xf>
    <xf numFmtId="0" fontId="35" fillId="25" borderId="0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7" borderId="3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center" vertical="center"/>
    </xf>
    <xf numFmtId="0" fontId="5" fillId="28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 wrapText="1"/>
    </xf>
    <xf numFmtId="0" fontId="5" fillId="28" borderId="6" xfId="0" applyFont="1" applyFill="1" applyBorder="1" applyAlignment="1">
      <alignment horizontal="left" vertical="center" wrapText="1"/>
    </xf>
    <xf numFmtId="0" fontId="5" fillId="29" borderId="6" xfId="0" applyFont="1" applyFill="1" applyBorder="1" applyAlignment="1">
      <alignment horizontal="center" vertical="center"/>
    </xf>
    <xf numFmtId="0" fontId="5" fillId="30" borderId="6" xfId="0" applyFont="1" applyFill="1" applyBorder="1" applyAlignment="1">
      <alignment horizontal="center" vertical="center"/>
    </xf>
    <xf numFmtId="0" fontId="36" fillId="31" borderId="6" xfId="0" applyFont="1" applyFill="1" applyBorder="1" applyAlignment="1">
      <alignment horizontal="center" vertical="center"/>
    </xf>
    <xf numFmtId="0" fontId="5" fillId="28" borderId="7" xfId="0" applyFont="1" applyFill="1" applyBorder="1" applyAlignment="1">
      <alignment horizontal="left" vertical="center"/>
    </xf>
    <xf numFmtId="0" fontId="5" fillId="32" borderId="6" xfId="0" applyFont="1" applyFill="1" applyBorder="1" applyAlignment="1">
      <alignment horizontal="center" vertical="center"/>
    </xf>
    <xf numFmtId="0" fontId="5" fillId="32" borderId="6" xfId="0" applyFont="1" applyFill="1" applyBorder="1" applyAlignment="1">
      <alignment horizontal="left" vertical="center" wrapText="1"/>
    </xf>
    <xf numFmtId="0" fontId="5" fillId="32" borderId="7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4" fillId="8" borderId="9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left" vertical="center"/>
    </xf>
    <xf numFmtId="0" fontId="2" fillId="9" borderId="4" xfId="0" applyFont="1" applyFill="1" applyBorder="1" applyAlignment="1">
      <alignment horizontal="left" vertical="center"/>
    </xf>
    <xf numFmtId="0" fontId="4" fillId="9" borderId="10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left" vertical="center"/>
    </xf>
    <xf numFmtId="0" fontId="4" fillId="11" borderId="12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left" vertical="center"/>
    </xf>
    <xf numFmtId="0" fontId="2" fillId="12" borderId="4" xfId="0" applyFont="1" applyFill="1" applyBorder="1" applyAlignment="1">
      <alignment horizontal="left" vertical="center"/>
    </xf>
    <xf numFmtId="0" fontId="4" fillId="12" borderId="13" xfId="0" applyFont="1" applyFill="1" applyBorder="1" applyAlignment="1">
      <alignment horizontal="center" vertical="center"/>
    </xf>
    <xf numFmtId="0" fontId="4" fillId="13" borderId="14" xfId="0" applyFont="1" applyFill="1" applyBorder="1" applyAlignment="1">
      <alignment horizontal="center" vertical="center"/>
    </xf>
    <xf numFmtId="0" fontId="2" fillId="13" borderId="4" xfId="0" applyFont="1" applyFill="1" applyBorder="1" applyAlignment="1">
      <alignment horizontal="left" vertical="center"/>
    </xf>
    <xf numFmtId="0" fontId="2" fillId="14" borderId="4" xfId="0" applyFont="1" applyFill="1" applyBorder="1" applyAlignment="1">
      <alignment horizontal="left" vertical="center"/>
    </xf>
    <xf numFmtId="0" fontId="4" fillId="14" borderId="15" xfId="0" applyFont="1" applyFill="1" applyBorder="1" applyAlignment="1">
      <alignment horizontal="center" vertical="center"/>
    </xf>
    <xf numFmtId="0" fontId="4" fillId="15" borderId="16" xfId="0" applyFont="1" applyFill="1" applyBorder="1" applyAlignment="1">
      <alignment horizontal="center" vertical="center"/>
    </xf>
    <xf numFmtId="0" fontId="2" fillId="15" borderId="4" xfId="0" applyFont="1" applyFill="1" applyBorder="1" applyAlignment="1">
      <alignment horizontal="left" vertical="center"/>
    </xf>
    <xf numFmtId="0" fontId="4" fillId="16" borderId="17" xfId="0" applyFont="1" applyFill="1" applyBorder="1" applyAlignment="1">
      <alignment horizontal="center" vertical="center"/>
    </xf>
    <xf numFmtId="0" fontId="2" fillId="16" borderId="4" xfId="0" applyFont="1" applyFill="1" applyBorder="1" applyAlignment="1">
      <alignment horizontal="left" vertical="center"/>
    </xf>
    <xf numFmtId="0" fontId="4" fillId="17" borderId="18" xfId="0" applyFont="1" applyFill="1" applyBorder="1" applyAlignment="1">
      <alignment horizontal="center" vertical="center"/>
    </xf>
    <xf numFmtId="0" fontId="2" fillId="17" borderId="4" xfId="0" applyFont="1" applyFill="1" applyBorder="1" applyAlignment="1">
      <alignment horizontal="left" vertical="center"/>
    </xf>
    <xf numFmtId="0" fontId="4" fillId="18" borderId="19" xfId="0" applyFont="1" applyFill="1" applyBorder="1" applyAlignment="1">
      <alignment horizontal="center" vertical="center"/>
    </xf>
    <xf numFmtId="0" fontId="2" fillId="18" borderId="4" xfId="0" applyFont="1" applyFill="1" applyBorder="1" applyAlignment="1">
      <alignment horizontal="left" vertical="center"/>
    </xf>
    <xf numFmtId="0" fontId="4" fillId="19" borderId="20" xfId="0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left" vertical="center"/>
    </xf>
    <xf numFmtId="0" fontId="4" fillId="20" borderId="21" xfId="0" applyFont="1" applyFill="1" applyBorder="1" applyAlignment="1">
      <alignment horizontal="center" vertical="center"/>
    </xf>
    <xf numFmtId="0" fontId="2" fillId="20" borderId="4" xfId="0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2E7D32"/>
      <rgbColor rgb="000D47A1"/>
      <rgbColor rgb="00145A32"/>
      <rgbColor rgb="00880E4F"/>
      <rgbColor rgb="000077B6"/>
      <rgbColor rgb="00F0F7FF"/>
      <rgbColor rgb="007F8C8D"/>
      <rgbColor rgb="009999FF"/>
      <rgbColor rgb="008E44AD"/>
      <rgbColor rgb="00FFF8E1"/>
      <rgbColor rgb="00D6EEF8"/>
      <rgbColor rgb="004A148C"/>
      <rgbColor rgb="00E74C3C"/>
      <rgbColor rgb="001565C0"/>
      <rgbColor rgb="00D0D7E2"/>
      <rgbColor rgb="000F4C81"/>
      <rgbColor rgb="00FF00FF"/>
      <rgbColor rgb="00FFFF00"/>
      <rgbColor rgb="0000FFFF"/>
      <rgbColor rgb="00800080"/>
      <rgbColor rgb="00800000"/>
      <rgbColor rgb="001B6CA8"/>
      <rgbColor rgb="000000FF"/>
      <rgbColor rgb="0000B4D8"/>
      <rgbColor rgb="00EBF5FB"/>
      <rgbColor rgb="00F0FFF0"/>
      <rgbColor rgb="00FAFAFA"/>
      <rgbColor rgb="00FDF2F8"/>
      <rgbColor rgb="00F8FAFC"/>
      <rgbColor rgb="00CC99FF"/>
      <rgbColor rgb="00E8EDF2"/>
      <rgbColor rgb="002E86AB"/>
      <rgbColor rgb="0048CAE4"/>
      <rgbColor rgb="0099CC00"/>
      <rgbColor rgb="00FFCC00"/>
      <rgbColor rgb="00E67E22"/>
      <rgbColor rgb="00E65100"/>
      <rgbColor rgb="0064748B"/>
      <rgbColor rgb="00969696"/>
      <rgbColor rgb="00023E8A"/>
      <rgbColor rgb="0027AE60"/>
      <rgbColor rgb="001A202C"/>
      <rgbColor rgb="001A2332"/>
      <rgbColor rgb="00BF360C"/>
      <rgbColor rgb="001D4E89"/>
      <rgbColor rgb="00283593"/>
      <rgbColor rgb="00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6"/>
  <sheetViews>
    <sheetView showGridLines="0" tabSelected="1" zoomScale="115" zoomScaleNormal="115" workbookViewId="0">
      <pane xSplit="1" ySplit="4" topLeftCell="B13" activePane="bottomRight" state="frozen"/>
      <selection/>
      <selection pane="topRight"/>
      <selection pane="bottomLeft"/>
      <selection pane="bottomRight" activeCell="D19" sqref="D19"/>
    </sheetView>
  </sheetViews>
  <sheetFormatPr defaultColWidth="8.67826086956522" defaultRowHeight="14.4"/>
  <cols>
    <col min="1" max="1" width="5" customWidth="1"/>
    <col min="2" max="2" width="8" customWidth="1"/>
    <col min="3" max="3" width="30" customWidth="1"/>
    <col min="4" max="4" width="52" customWidth="1"/>
    <col min="5" max="5" width="14" customWidth="1"/>
    <col min="6" max="7" width="8" customWidth="1"/>
    <col min="8" max="8" width="16" customWidth="1"/>
    <col min="9" max="9" width="28" customWidth="1"/>
  </cols>
  <sheetData>
    <row r="1" ht="42" customHeight="1" spans="1:9">
      <c r="A1" s="80" t="s">
        <v>0</v>
      </c>
      <c r="B1" s="80"/>
      <c r="C1" s="80"/>
      <c r="D1" s="80"/>
      <c r="E1" s="80"/>
      <c r="F1" s="80"/>
      <c r="G1" s="80"/>
      <c r="H1" s="80"/>
      <c r="I1" s="80"/>
    </row>
    <row r="2" ht="21.75" customHeight="1" spans="1:9">
      <c r="A2" s="81" t="s">
        <v>1</v>
      </c>
      <c r="B2" s="81"/>
      <c r="C2" s="81"/>
      <c r="D2" s="81"/>
      <c r="E2" s="81"/>
      <c r="F2" s="82" t="s">
        <v>2</v>
      </c>
      <c r="G2" s="82"/>
      <c r="H2" s="82"/>
      <c r="I2" s="82"/>
    </row>
    <row r="3" ht="18" customHeight="1" spans="1:9">
      <c r="A3" s="83" t="s">
        <v>3</v>
      </c>
      <c r="B3" s="83"/>
      <c r="C3" s="83"/>
      <c r="D3" s="83"/>
      <c r="E3" s="83"/>
      <c r="F3" s="83"/>
      <c r="G3" s="83"/>
      <c r="H3" s="83"/>
      <c r="I3" s="83"/>
    </row>
    <row r="4" ht="21.75" customHeight="1" spans="1:9">
      <c r="A4" s="84"/>
      <c r="B4" s="85" t="s">
        <v>4</v>
      </c>
      <c r="C4" s="85" t="s">
        <v>5</v>
      </c>
      <c r="D4" s="85" t="s">
        <v>6</v>
      </c>
      <c r="E4" s="86" t="s">
        <v>7</v>
      </c>
      <c r="F4" s="86" t="s">
        <v>8</v>
      </c>
      <c r="G4" s="86" t="s">
        <v>9</v>
      </c>
      <c r="H4" s="87" t="s">
        <v>10</v>
      </c>
      <c r="I4" s="88" t="s">
        <v>11</v>
      </c>
    </row>
    <row r="5" ht="16.5" customHeight="1" spans="1:9">
      <c r="A5" s="89" t="s">
        <v>12</v>
      </c>
      <c r="B5" s="89"/>
      <c r="C5" s="89"/>
      <c r="D5" s="89"/>
      <c r="E5" s="89"/>
      <c r="F5" s="89"/>
      <c r="G5" s="89"/>
      <c r="H5" s="89"/>
      <c r="I5" s="89"/>
    </row>
    <row r="6" ht="18" customHeight="1" spans="1:9">
      <c r="A6" s="90"/>
      <c r="B6" s="91">
        <v>1</v>
      </c>
      <c r="C6" s="92" t="s">
        <v>13</v>
      </c>
      <c r="D6" s="93" t="s">
        <v>14</v>
      </c>
      <c r="E6" s="94" t="s">
        <v>15</v>
      </c>
      <c r="F6" s="94">
        <v>1</v>
      </c>
      <c r="G6" s="95" t="s">
        <v>16</v>
      </c>
      <c r="H6" s="96" t="s">
        <v>17</v>
      </c>
      <c r="I6" s="97"/>
    </row>
    <row r="7" ht="18" customHeight="1" spans="1:9">
      <c r="A7" s="90"/>
      <c r="B7" s="98">
        <v>2</v>
      </c>
      <c r="C7" s="92" t="s">
        <v>13</v>
      </c>
      <c r="D7" s="99" t="s">
        <v>18</v>
      </c>
      <c r="E7" s="94" t="s">
        <v>15</v>
      </c>
      <c r="F7" s="94">
        <v>1</v>
      </c>
      <c r="G7" s="95" t="s">
        <v>19</v>
      </c>
      <c r="H7" s="96" t="s">
        <v>17</v>
      </c>
      <c r="I7" s="100"/>
    </row>
    <row r="8" ht="18" customHeight="1" spans="1:9">
      <c r="A8" s="90"/>
      <c r="B8" s="91">
        <v>3</v>
      </c>
      <c r="C8" s="92" t="s">
        <v>13</v>
      </c>
      <c r="D8" s="93" t="s">
        <v>20</v>
      </c>
      <c r="E8" s="94" t="s">
        <v>15</v>
      </c>
      <c r="F8" s="94">
        <v>1</v>
      </c>
      <c r="G8" s="95" t="s">
        <v>21</v>
      </c>
      <c r="H8" s="96" t="s">
        <v>22</v>
      </c>
      <c r="I8" s="97"/>
    </row>
    <row r="9" ht="18" customHeight="1" spans="1:9">
      <c r="A9" s="90"/>
      <c r="B9" s="98">
        <v>4</v>
      </c>
      <c r="C9" s="92" t="s">
        <v>13</v>
      </c>
      <c r="D9" s="99" t="s">
        <v>23</v>
      </c>
      <c r="E9" s="94" t="s">
        <v>15</v>
      </c>
      <c r="F9" s="94">
        <v>1</v>
      </c>
      <c r="G9" s="95" t="s">
        <v>24</v>
      </c>
      <c r="H9" s="96" t="s">
        <v>22</v>
      </c>
      <c r="I9" s="100"/>
    </row>
    <row r="10" ht="18" customHeight="1" spans="1:9">
      <c r="A10" s="90"/>
      <c r="B10" s="91">
        <v>5</v>
      </c>
      <c r="C10" s="92" t="s">
        <v>13</v>
      </c>
      <c r="D10" s="93" t="s">
        <v>25</v>
      </c>
      <c r="E10" s="94" t="s">
        <v>15</v>
      </c>
      <c r="F10" s="94">
        <v>1</v>
      </c>
      <c r="G10" s="95" t="s">
        <v>26</v>
      </c>
      <c r="H10" s="96" t="s">
        <v>22</v>
      </c>
      <c r="I10" s="97"/>
    </row>
    <row r="11" ht="16.5" customHeight="1" spans="1:9">
      <c r="A11" s="89" t="s">
        <v>27</v>
      </c>
      <c r="B11" s="89"/>
      <c r="C11" s="89"/>
      <c r="D11" s="89"/>
      <c r="E11" s="89"/>
      <c r="F11" s="89"/>
      <c r="G11" s="89"/>
      <c r="H11" s="89"/>
      <c r="I11" s="89"/>
    </row>
    <row r="12" ht="18" customHeight="1" spans="1:9">
      <c r="A12" s="90"/>
      <c r="B12" s="91">
        <v>6</v>
      </c>
      <c r="C12" s="92" t="s">
        <v>13</v>
      </c>
      <c r="D12" s="93" t="s">
        <v>28</v>
      </c>
      <c r="E12" s="94" t="s">
        <v>29</v>
      </c>
      <c r="F12" s="94">
        <v>2</v>
      </c>
      <c r="G12" s="95" t="s">
        <v>16</v>
      </c>
      <c r="H12" s="96" t="s">
        <v>22</v>
      </c>
      <c r="I12" s="97"/>
    </row>
    <row r="13" ht="18" customHeight="1" spans="1:9">
      <c r="A13" s="90"/>
      <c r="B13" s="98">
        <v>7</v>
      </c>
      <c r="C13" s="92" t="s">
        <v>13</v>
      </c>
      <c r="D13" s="99" t="s">
        <v>30</v>
      </c>
      <c r="E13" s="94" t="s">
        <v>29</v>
      </c>
      <c r="F13" s="94">
        <v>2</v>
      </c>
      <c r="G13" s="95" t="s">
        <v>19</v>
      </c>
      <c r="H13" s="96" t="s">
        <v>22</v>
      </c>
      <c r="I13" s="100"/>
    </row>
    <row r="14" ht="18" customHeight="1" spans="1:9">
      <c r="A14" s="90"/>
      <c r="B14" s="91">
        <v>8</v>
      </c>
      <c r="C14" s="92" t="s">
        <v>13</v>
      </c>
      <c r="D14" s="93" t="s">
        <v>31</v>
      </c>
      <c r="E14" s="94" t="s">
        <v>29</v>
      </c>
      <c r="F14" s="94">
        <v>2</v>
      </c>
      <c r="G14" s="95" t="s">
        <v>21</v>
      </c>
      <c r="H14" s="96" t="s">
        <v>22</v>
      </c>
      <c r="I14" s="97"/>
    </row>
    <row r="15" ht="18" customHeight="1" spans="1:9">
      <c r="A15" s="90"/>
      <c r="B15" s="98">
        <v>9</v>
      </c>
      <c r="C15" s="92" t="s">
        <v>13</v>
      </c>
      <c r="D15" s="99" t="s">
        <v>32</v>
      </c>
      <c r="E15" s="94" t="s">
        <v>29</v>
      </c>
      <c r="F15" s="94">
        <v>2</v>
      </c>
      <c r="G15" s="95" t="s">
        <v>24</v>
      </c>
      <c r="H15" s="96" t="s">
        <v>22</v>
      </c>
      <c r="I15" s="100"/>
    </row>
    <row r="16" ht="18" customHeight="1" spans="1:9">
      <c r="A16" s="90"/>
      <c r="B16" s="91">
        <v>10</v>
      </c>
      <c r="C16" s="92" t="s">
        <v>13</v>
      </c>
      <c r="D16" s="93" t="s">
        <v>33</v>
      </c>
      <c r="E16" s="94" t="s">
        <v>29</v>
      </c>
      <c r="F16" s="94">
        <v>2</v>
      </c>
      <c r="G16" s="95" t="s">
        <v>26</v>
      </c>
      <c r="H16" s="96" t="s">
        <v>22</v>
      </c>
      <c r="I16" s="97"/>
    </row>
    <row r="17" ht="16.5" customHeight="1" spans="1:9">
      <c r="A17" s="89" t="s">
        <v>34</v>
      </c>
      <c r="B17" s="89"/>
      <c r="C17" s="89"/>
      <c r="D17" s="89"/>
      <c r="E17" s="89"/>
      <c r="F17" s="89"/>
      <c r="G17" s="89"/>
      <c r="H17" s="89"/>
      <c r="I17" s="89"/>
    </row>
    <row r="18" ht="18" customHeight="1" spans="1:9">
      <c r="A18" s="90"/>
      <c r="B18" s="91">
        <v>11</v>
      </c>
      <c r="C18" s="92" t="s">
        <v>13</v>
      </c>
      <c r="D18" s="93" t="s">
        <v>35</v>
      </c>
      <c r="E18" s="94" t="s">
        <v>36</v>
      </c>
      <c r="F18" s="94">
        <v>3</v>
      </c>
      <c r="G18" s="95" t="s">
        <v>16</v>
      </c>
      <c r="H18" s="96" t="s">
        <v>22</v>
      </c>
      <c r="I18" s="97"/>
    </row>
    <row r="19" ht="18" customHeight="1" spans="1:9">
      <c r="A19" s="90"/>
      <c r="B19" s="98">
        <v>12</v>
      </c>
      <c r="C19" s="92" t="s">
        <v>13</v>
      </c>
      <c r="D19" s="99" t="s">
        <v>37</v>
      </c>
      <c r="E19" s="94" t="s">
        <v>36</v>
      </c>
      <c r="F19" s="94">
        <v>3</v>
      </c>
      <c r="G19" s="95" t="s">
        <v>19</v>
      </c>
      <c r="H19" s="96" t="s">
        <v>22</v>
      </c>
      <c r="I19" s="100"/>
    </row>
    <row r="20" ht="18" customHeight="1" spans="1:9">
      <c r="A20" s="90"/>
      <c r="B20" s="91">
        <v>13</v>
      </c>
      <c r="C20" s="92" t="s">
        <v>13</v>
      </c>
      <c r="D20" s="93" t="s">
        <v>38</v>
      </c>
      <c r="E20" s="94" t="s">
        <v>36</v>
      </c>
      <c r="F20" s="94">
        <v>3</v>
      </c>
      <c r="G20" s="95" t="s">
        <v>21</v>
      </c>
      <c r="H20" s="96" t="s">
        <v>22</v>
      </c>
      <c r="I20" s="97"/>
    </row>
    <row r="21" ht="18" customHeight="1" spans="1:9">
      <c r="A21" s="90"/>
      <c r="B21" s="98">
        <v>14</v>
      </c>
      <c r="C21" s="92" t="s">
        <v>13</v>
      </c>
      <c r="D21" s="99" t="s">
        <v>39</v>
      </c>
      <c r="E21" s="94" t="s">
        <v>36</v>
      </c>
      <c r="F21" s="94">
        <v>3</v>
      </c>
      <c r="G21" s="95" t="s">
        <v>24</v>
      </c>
      <c r="H21" s="96" t="s">
        <v>22</v>
      </c>
      <c r="I21" s="100"/>
    </row>
    <row r="22" ht="18" customHeight="1" spans="1:9">
      <c r="A22" s="90"/>
      <c r="B22" s="91">
        <v>15</v>
      </c>
      <c r="C22" s="92" t="s">
        <v>13</v>
      </c>
      <c r="D22" s="93" t="s">
        <v>40</v>
      </c>
      <c r="E22" s="94" t="s">
        <v>36</v>
      </c>
      <c r="F22" s="94">
        <v>3</v>
      </c>
      <c r="G22" s="95" t="s">
        <v>26</v>
      </c>
      <c r="H22" s="96" t="s">
        <v>22</v>
      </c>
      <c r="I22" s="97"/>
    </row>
    <row r="23" ht="16.5" customHeight="1" spans="1:9">
      <c r="A23" s="89" t="s">
        <v>41</v>
      </c>
      <c r="B23" s="89"/>
      <c r="C23" s="89"/>
      <c r="D23" s="89"/>
      <c r="E23" s="89"/>
      <c r="F23" s="89"/>
      <c r="G23" s="89"/>
      <c r="H23" s="89"/>
      <c r="I23" s="89"/>
    </row>
    <row r="24" ht="18" customHeight="1" spans="1:9">
      <c r="A24" s="90"/>
      <c r="B24" s="91">
        <v>16</v>
      </c>
      <c r="C24" s="92" t="s">
        <v>13</v>
      </c>
      <c r="D24" s="93" t="s">
        <v>42</v>
      </c>
      <c r="E24" s="94" t="s">
        <v>43</v>
      </c>
      <c r="F24" s="94">
        <v>4</v>
      </c>
      <c r="G24" s="95" t="s">
        <v>16</v>
      </c>
      <c r="H24" s="96" t="s">
        <v>22</v>
      </c>
      <c r="I24" s="97"/>
    </row>
    <row r="25" ht="18" customHeight="1" spans="1:9">
      <c r="A25" s="90"/>
      <c r="B25" s="98">
        <v>17</v>
      </c>
      <c r="C25" s="92" t="s">
        <v>13</v>
      </c>
      <c r="D25" s="99" t="s">
        <v>44</v>
      </c>
      <c r="E25" s="94" t="s">
        <v>43</v>
      </c>
      <c r="F25" s="94">
        <v>4</v>
      </c>
      <c r="G25" s="95" t="s">
        <v>19</v>
      </c>
      <c r="H25" s="96" t="s">
        <v>22</v>
      </c>
      <c r="I25" s="100"/>
    </row>
    <row r="26" ht="18" customHeight="1" spans="1:9">
      <c r="A26" s="90"/>
      <c r="B26" s="91">
        <v>18</v>
      </c>
      <c r="C26" s="92" t="s">
        <v>13</v>
      </c>
      <c r="D26" s="93" t="s">
        <v>45</v>
      </c>
      <c r="E26" s="94" t="s">
        <v>43</v>
      </c>
      <c r="F26" s="94">
        <v>4</v>
      </c>
      <c r="G26" s="95" t="s">
        <v>21</v>
      </c>
      <c r="H26" s="96" t="s">
        <v>22</v>
      </c>
      <c r="I26" s="97"/>
    </row>
    <row r="27" ht="18" customHeight="1" spans="1:9">
      <c r="A27" s="90"/>
      <c r="B27" s="98">
        <v>19</v>
      </c>
      <c r="C27" s="92" t="s">
        <v>13</v>
      </c>
      <c r="D27" s="99" t="s">
        <v>46</v>
      </c>
      <c r="E27" s="94" t="s">
        <v>43</v>
      </c>
      <c r="F27" s="94">
        <v>4</v>
      </c>
      <c r="G27" s="95" t="s">
        <v>24</v>
      </c>
      <c r="H27" s="96" t="s">
        <v>22</v>
      </c>
      <c r="I27" s="100"/>
    </row>
    <row r="28" ht="18" customHeight="1" spans="1:9">
      <c r="A28" s="101"/>
      <c r="B28" s="91">
        <v>20</v>
      </c>
      <c r="C28" s="92" t="s">
        <v>47</v>
      </c>
      <c r="D28" s="93" t="s">
        <v>48</v>
      </c>
      <c r="E28" s="94" t="s">
        <v>43</v>
      </c>
      <c r="F28" s="94">
        <v>4</v>
      </c>
      <c r="G28" s="95" t="s">
        <v>26</v>
      </c>
      <c r="H28" s="96" t="s">
        <v>22</v>
      </c>
      <c r="I28" s="97"/>
    </row>
    <row r="29" ht="16.5" customHeight="1" spans="1:9">
      <c r="A29" s="102" t="s">
        <v>49</v>
      </c>
      <c r="B29" s="102"/>
      <c r="C29" s="102"/>
      <c r="D29" s="102"/>
      <c r="E29" s="102"/>
      <c r="F29" s="102"/>
      <c r="G29" s="102"/>
      <c r="H29" s="102"/>
      <c r="I29" s="102"/>
    </row>
    <row r="30" ht="18" customHeight="1" spans="1:9">
      <c r="A30" s="101"/>
      <c r="B30" s="91">
        <v>21</v>
      </c>
      <c r="C30" s="92" t="s">
        <v>47</v>
      </c>
      <c r="D30" s="93" t="s">
        <v>50</v>
      </c>
      <c r="E30" s="94" t="s">
        <v>51</v>
      </c>
      <c r="F30" s="94">
        <v>5</v>
      </c>
      <c r="G30" s="95" t="s">
        <v>16</v>
      </c>
      <c r="H30" s="96" t="s">
        <v>22</v>
      </c>
      <c r="I30" s="97"/>
    </row>
    <row r="31" ht="18" customHeight="1" spans="1:9">
      <c r="A31" s="101"/>
      <c r="B31" s="98">
        <v>22</v>
      </c>
      <c r="C31" s="92" t="s">
        <v>47</v>
      </c>
      <c r="D31" s="99" t="s">
        <v>52</v>
      </c>
      <c r="E31" s="94" t="s">
        <v>51</v>
      </c>
      <c r="F31" s="94">
        <v>5</v>
      </c>
      <c r="G31" s="95" t="s">
        <v>19</v>
      </c>
      <c r="H31" s="96" t="s">
        <v>22</v>
      </c>
      <c r="I31" s="100"/>
    </row>
    <row r="32" ht="18" customHeight="1" spans="1:9">
      <c r="A32" s="101"/>
      <c r="B32" s="91">
        <v>23</v>
      </c>
      <c r="C32" s="92" t="s">
        <v>47</v>
      </c>
      <c r="D32" s="93" t="s">
        <v>53</v>
      </c>
      <c r="E32" s="94" t="s">
        <v>51</v>
      </c>
      <c r="F32" s="94">
        <v>5</v>
      </c>
      <c r="G32" s="95" t="s">
        <v>21</v>
      </c>
      <c r="H32" s="96" t="s">
        <v>22</v>
      </c>
      <c r="I32" s="97"/>
    </row>
    <row r="33" ht="18" customHeight="1" spans="1:9">
      <c r="A33" s="101"/>
      <c r="B33" s="98">
        <v>24</v>
      </c>
      <c r="C33" s="92" t="s">
        <v>47</v>
      </c>
      <c r="D33" s="99" t="s">
        <v>54</v>
      </c>
      <c r="E33" s="94" t="s">
        <v>51</v>
      </c>
      <c r="F33" s="94">
        <v>5</v>
      </c>
      <c r="G33" s="95" t="s">
        <v>24</v>
      </c>
      <c r="H33" s="96" t="s">
        <v>22</v>
      </c>
      <c r="I33" s="100"/>
    </row>
    <row r="34" ht="18" customHeight="1" spans="1:9">
      <c r="A34" s="101"/>
      <c r="B34" s="91">
        <v>25</v>
      </c>
      <c r="C34" s="92" t="s">
        <v>47</v>
      </c>
      <c r="D34" s="93" t="s">
        <v>55</v>
      </c>
      <c r="E34" s="94" t="s">
        <v>51</v>
      </c>
      <c r="F34" s="94">
        <v>5</v>
      </c>
      <c r="G34" s="95" t="s">
        <v>26</v>
      </c>
      <c r="H34" s="96" t="s">
        <v>22</v>
      </c>
      <c r="I34" s="97"/>
    </row>
    <row r="35" ht="16.5" customHeight="1" spans="1:9">
      <c r="A35" s="102" t="s">
        <v>56</v>
      </c>
      <c r="B35" s="102"/>
      <c r="C35" s="102"/>
      <c r="D35" s="102"/>
      <c r="E35" s="102"/>
      <c r="F35" s="102"/>
      <c r="G35" s="102"/>
      <c r="H35" s="102"/>
      <c r="I35" s="102"/>
    </row>
    <row r="36" ht="18" customHeight="1" spans="1:9">
      <c r="A36" s="101"/>
      <c r="B36" s="91">
        <v>26</v>
      </c>
      <c r="C36" s="92" t="s">
        <v>47</v>
      </c>
      <c r="D36" s="93" t="s">
        <v>57</v>
      </c>
      <c r="E36" s="94" t="s">
        <v>58</v>
      </c>
      <c r="F36" s="94">
        <v>6</v>
      </c>
      <c r="G36" s="95" t="s">
        <v>16</v>
      </c>
      <c r="H36" s="96" t="s">
        <v>22</v>
      </c>
      <c r="I36" s="97"/>
    </row>
    <row r="37" ht="18" customHeight="1" spans="1:9">
      <c r="A37" s="103"/>
      <c r="B37" s="98">
        <v>27</v>
      </c>
      <c r="C37" s="92" t="s">
        <v>59</v>
      </c>
      <c r="D37" s="99" t="s">
        <v>60</v>
      </c>
      <c r="E37" s="94" t="s">
        <v>58</v>
      </c>
      <c r="F37" s="94">
        <v>6</v>
      </c>
      <c r="G37" s="95" t="s">
        <v>19</v>
      </c>
      <c r="H37" s="96" t="s">
        <v>22</v>
      </c>
      <c r="I37" s="100"/>
    </row>
    <row r="38" ht="18" customHeight="1" spans="1:9">
      <c r="A38" s="103"/>
      <c r="B38" s="91">
        <v>28</v>
      </c>
      <c r="C38" s="92" t="s">
        <v>59</v>
      </c>
      <c r="D38" s="93" t="s">
        <v>61</v>
      </c>
      <c r="E38" s="94" t="s">
        <v>58</v>
      </c>
      <c r="F38" s="94">
        <v>6</v>
      </c>
      <c r="G38" s="95" t="s">
        <v>21</v>
      </c>
      <c r="H38" s="96" t="s">
        <v>22</v>
      </c>
      <c r="I38" s="97"/>
    </row>
    <row r="39" ht="18" customHeight="1" spans="1:9">
      <c r="A39" s="103"/>
      <c r="B39" s="98">
        <v>29</v>
      </c>
      <c r="C39" s="92" t="s">
        <v>59</v>
      </c>
      <c r="D39" s="99" t="s">
        <v>62</v>
      </c>
      <c r="E39" s="94" t="s">
        <v>58</v>
      </c>
      <c r="F39" s="94">
        <v>6</v>
      </c>
      <c r="G39" s="95" t="s">
        <v>24</v>
      </c>
      <c r="H39" s="96" t="s">
        <v>22</v>
      </c>
      <c r="I39" s="100"/>
    </row>
    <row r="40" ht="18" customHeight="1" spans="1:9">
      <c r="A40" s="103"/>
      <c r="B40" s="91">
        <v>30</v>
      </c>
      <c r="C40" s="92" t="s">
        <v>59</v>
      </c>
      <c r="D40" s="93" t="s">
        <v>63</v>
      </c>
      <c r="E40" s="94" t="s">
        <v>58</v>
      </c>
      <c r="F40" s="94">
        <v>6</v>
      </c>
      <c r="G40" s="95" t="s">
        <v>26</v>
      </c>
      <c r="H40" s="96" t="s">
        <v>22</v>
      </c>
      <c r="I40" s="97"/>
    </row>
    <row r="41" ht="16.5" customHeight="1" spans="1:9">
      <c r="A41" s="104" t="s">
        <v>64</v>
      </c>
      <c r="B41" s="104"/>
      <c r="C41" s="104"/>
      <c r="D41" s="104"/>
      <c r="E41" s="104"/>
      <c r="F41" s="104"/>
      <c r="G41" s="104"/>
      <c r="H41" s="104"/>
      <c r="I41" s="104"/>
    </row>
    <row r="42" ht="18" customHeight="1" spans="1:9">
      <c r="A42" s="103"/>
      <c r="B42" s="91">
        <v>31</v>
      </c>
      <c r="C42" s="92" t="s">
        <v>59</v>
      </c>
      <c r="D42" s="93" t="s">
        <v>65</v>
      </c>
      <c r="E42" s="94" t="s">
        <v>66</v>
      </c>
      <c r="F42" s="94">
        <v>7</v>
      </c>
      <c r="G42" s="95" t="s">
        <v>16</v>
      </c>
      <c r="H42" s="96" t="s">
        <v>22</v>
      </c>
      <c r="I42" s="97"/>
    </row>
    <row r="43" ht="18" customHeight="1" spans="1:9">
      <c r="A43" s="103"/>
      <c r="B43" s="98">
        <v>32</v>
      </c>
      <c r="C43" s="92" t="s">
        <v>59</v>
      </c>
      <c r="D43" s="99" t="s">
        <v>67</v>
      </c>
      <c r="E43" s="94" t="s">
        <v>66</v>
      </c>
      <c r="F43" s="94">
        <v>7</v>
      </c>
      <c r="G43" s="95" t="s">
        <v>19</v>
      </c>
      <c r="H43" s="96" t="s">
        <v>22</v>
      </c>
      <c r="I43" s="100"/>
    </row>
    <row r="44" ht="18" customHeight="1" spans="1:9">
      <c r="A44" s="103"/>
      <c r="B44" s="91">
        <v>33</v>
      </c>
      <c r="C44" s="92" t="s">
        <v>59</v>
      </c>
      <c r="D44" s="93" t="s">
        <v>68</v>
      </c>
      <c r="E44" s="94" t="s">
        <v>66</v>
      </c>
      <c r="F44" s="94">
        <v>7</v>
      </c>
      <c r="G44" s="95" t="s">
        <v>21</v>
      </c>
      <c r="H44" s="96" t="s">
        <v>22</v>
      </c>
      <c r="I44" s="97"/>
    </row>
    <row r="45" ht="18" customHeight="1" spans="1:9">
      <c r="A45" s="103"/>
      <c r="B45" s="98">
        <v>34</v>
      </c>
      <c r="C45" s="92" t="s">
        <v>59</v>
      </c>
      <c r="D45" s="99" t="s">
        <v>69</v>
      </c>
      <c r="E45" s="94" t="s">
        <v>66</v>
      </c>
      <c r="F45" s="94">
        <v>7</v>
      </c>
      <c r="G45" s="95" t="s">
        <v>24</v>
      </c>
      <c r="H45" s="96" t="s">
        <v>22</v>
      </c>
      <c r="I45" s="100"/>
    </row>
    <row r="46" ht="18" customHeight="1" spans="1:9">
      <c r="A46" s="103"/>
      <c r="B46" s="91">
        <v>35</v>
      </c>
      <c r="C46" s="92" t="s">
        <v>59</v>
      </c>
      <c r="D46" s="93" t="s">
        <v>70</v>
      </c>
      <c r="E46" s="94" t="s">
        <v>66</v>
      </c>
      <c r="F46" s="94">
        <v>7</v>
      </c>
      <c r="G46" s="95" t="s">
        <v>26</v>
      </c>
      <c r="H46" s="96" t="s">
        <v>22</v>
      </c>
      <c r="I46" s="97"/>
    </row>
    <row r="47" ht="16.5" customHeight="1" spans="1:9">
      <c r="A47" s="104" t="s">
        <v>71</v>
      </c>
      <c r="B47" s="104"/>
      <c r="C47" s="104"/>
      <c r="D47" s="104"/>
      <c r="E47" s="104"/>
      <c r="F47" s="104"/>
      <c r="G47" s="104"/>
      <c r="H47" s="104"/>
      <c r="I47" s="104"/>
    </row>
    <row r="48" ht="18" customHeight="1" spans="1:9">
      <c r="A48" s="103"/>
      <c r="B48" s="91">
        <v>36</v>
      </c>
      <c r="C48" s="92" t="s">
        <v>59</v>
      </c>
      <c r="D48" s="93" t="s">
        <v>72</v>
      </c>
      <c r="E48" s="94" t="s">
        <v>73</v>
      </c>
      <c r="F48" s="94">
        <v>8</v>
      </c>
      <c r="G48" s="95" t="s">
        <v>16</v>
      </c>
      <c r="H48" s="96" t="s">
        <v>22</v>
      </c>
      <c r="I48" s="97"/>
    </row>
    <row r="49" ht="18" customHeight="1" spans="1:9">
      <c r="A49" s="103"/>
      <c r="B49" s="98">
        <v>37</v>
      </c>
      <c r="C49" s="92" t="s">
        <v>59</v>
      </c>
      <c r="D49" s="99" t="s">
        <v>74</v>
      </c>
      <c r="E49" s="94" t="s">
        <v>73</v>
      </c>
      <c r="F49" s="94">
        <v>8</v>
      </c>
      <c r="G49" s="95" t="s">
        <v>19</v>
      </c>
      <c r="H49" s="96" t="s">
        <v>22</v>
      </c>
      <c r="I49" s="100"/>
    </row>
    <row r="50" ht="18" customHeight="1" spans="1:9">
      <c r="A50" s="103"/>
      <c r="B50" s="91">
        <v>38</v>
      </c>
      <c r="C50" s="92" t="s">
        <v>59</v>
      </c>
      <c r="D50" s="93" t="s">
        <v>75</v>
      </c>
      <c r="E50" s="94" t="s">
        <v>73</v>
      </c>
      <c r="F50" s="94">
        <v>8</v>
      </c>
      <c r="G50" s="95" t="s">
        <v>21</v>
      </c>
      <c r="H50" s="96" t="s">
        <v>22</v>
      </c>
      <c r="I50" s="97"/>
    </row>
    <row r="51" ht="18" customHeight="1" spans="1:9">
      <c r="A51" s="103"/>
      <c r="B51" s="98">
        <v>39</v>
      </c>
      <c r="C51" s="92" t="s">
        <v>59</v>
      </c>
      <c r="D51" s="99" t="s">
        <v>76</v>
      </c>
      <c r="E51" s="94" t="s">
        <v>73</v>
      </c>
      <c r="F51" s="94">
        <v>8</v>
      </c>
      <c r="G51" s="95" t="s">
        <v>24</v>
      </c>
      <c r="H51" s="96" t="s">
        <v>22</v>
      </c>
      <c r="I51" s="100"/>
    </row>
    <row r="52" ht="18" customHeight="1" spans="1:9">
      <c r="A52" s="103"/>
      <c r="B52" s="91">
        <v>40</v>
      </c>
      <c r="C52" s="92" t="s">
        <v>59</v>
      </c>
      <c r="D52" s="93" t="s">
        <v>77</v>
      </c>
      <c r="E52" s="94" t="s">
        <v>73</v>
      </c>
      <c r="F52" s="94">
        <v>8</v>
      </c>
      <c r="G52" s="95" t="s">
        <v>26</v>
      </c>
      <c r="H52" s="96" t="s">
        <v>22</v>
      </c>
      <c r="I52" s="97"/>
    </row>
    <row r="53" ht="16.5" customHeight="1" spans="1:9">
      <c r="A53" s="104" t="s">
        <v>78</v>
      </c>
      <c r="B53" s="104"/>
      <c r="C53" s="104"/>
      <c r="D53" s="104"/>
      <c r="E53" s="104"/>
      <c r="F53" s="104"/>
      <c r="G53" s="104"/>
      <c r="H53" s="104"/>
      <c r="I53" s="104"/>
    </row>
    <row r="54" ht="18" customHeight="1" spans="1:9">
      <c r="A54" s="103"/>
      <c r="B54" s="91">
        <v>41</v>
      </c>
      <c r="C54" s="92" t="s">
        <v>59</v>
      </c>
      <c r="D54" s="93" t="s">
        <v>79</v>
      </c>
      <c r="E54" s="94" t="s">
        <v>80</v>
      </c>
      <c r="F54" s="94">
        <v>9</v>
      </c>
      <c r="G54" s="95" t="s">
        <v>16</v>
      </c>
      <c r="H54" s="96" t="s">
        <v>22</v>
      </c>
      <c r="I54" s="97"/>
    </row>
    <row r="55" ht="18" customHeight="1" spans="1:9">
      <c r="A55" s="103"/>
      <c r="B55" s="98">
        <v>42</v>
      </c>
      <c r="C55" s="92" t="s">
        <v>59</v>
      </c>
      <c r="D55" s="99" t="s">
        <v>81</v>
      </c>
      <c r="E55" s="94" t="s">
        <v>80</v>
      </c>
      <c r="F55" s="94">
        <v>9</v>
      </c>
      <c r="G55" s="95" t="s">
        <v>19</v>
      </c>
      <c r="H55" s="96" t="s">
        <v>22</v>
      </c>
      <c r="I55" s="100"/>
    </row>
    <row r="56" ht="18" customHeight="1" spans="1:9">
      <c r="A56" s="103"/>
      <c r="B56" s="91">
        <v>43</v>
      </c>
      <c r="C56" s="92" t="s">
        <v>59</v>
      </c>
      <c r="D56" s="93" t="s">
        <v>82</v>
      </c>
      <c r="E56" s="94" t="s">
        <v>80</v>
      </c>
      <c r="F56" s="94">
        <v>9</v>
      </c>
      <c r="G56" s="95" t="s">
        <v>21</v>
      </c>
      <c r="H56" s="96" t="s">
        <v>22</v>
      </c>
      <c r="I56" s="97"/>
    </row>
    <row r="57" ht="18" customHeight="1" spans="1:9">
      <c r="A57" s="103"/>
      <c r="B57" s="98">
        <v>44</v>
      </c>
      <c r="C57" s="92" t="s">
        <v>59</v>
      </c>
      <c r="D57" s="99" t="s">
        <v>83</v>
      </c>
      <c r="E57" s="94" t="s">
        <v>80</v>
      </c>
      <c r="F57" s="94">
        <v>9</v>
      </c>
      <c r="G57" s="95" t="s">
        <v>24</v>
      </c>
      <c r="H57" s="96" t="s">
        <v>22</v>
      </c>
      <c r="I57" s="100"/>
    </row>
    <row r="58" ht="18" customHeight="1" spans="1:9">
      <c r="A58" s="103"/>
      <c r="B58" s="91">
        <v>45</v>
      </c>
      <c r="C58" s="92" t="s">
        <v>59</v>
      </c>
      <c r="D58" s="93" t="s">
        <v>84</v>
      </c>
      <c r="E58" s="94" t="s">
        <v>80</v>
      </c>
      <c r="F58" s="94">
        <v>9</v>
      </c>
      <c r="G58" s="95" t="s">
        <v>26</v>
      </c>
      <c r="H58" s="96" t="s">
        <v>22</v>
      </c>
      <c r="I58" s="97"/>
    </row>
    <row r="59" ht="16.5" customHeight="1" spans="1:9">
      <c r="A59" s="105" t="s">
        <v>85</v>
      </c>
      <c r="B59" s="105"/>
      <c r="C59" s="105"/>
      <c r="D59" s="105"/>
      <c r="E59" s="105"/>
      <c r="F59" s="105"/>
      <c r="G59" s="105"/>
      <c r="H59" s="105"/>
      <c r="I59" s="105"/>
    </row>
    <row r="60" ht="18" customHeight="1" spans="1:9">
      <c r="A60" s="106"/>
      <c r="B60" s="91">
        <v>46</v>
      </c>
      <c r="C60" s="92" t="s">
        <v>86</v>
      </c>
      <c r="D60" s="93" t="s">
        <v>87</v>
      </c>
      <c r="E60" s="94" t="s">
        <v>88</v>
      </c>
      <c r="F60" s="94">
        <v>10</v>
      </c>
      <c r="G60" s="95" t="s">
        <v>16</v>
      </c>
      <c r="H60" s="96" t="s">
        <v>22</v>
      </c>
      <c r="I60" s="97"/>
    </row>
    <row r="61" ht="18" customHeight="1" spans="1:9">
      <c r="A61" s="106"/>
      <c r="B61" s="98">
        <v>47</v>
      </c>
      <c r="C61" s="92" t="s">
        <v>86</v>
      </c>
      <c r="D61" s="99" t="s">
        <v>89</v>
      </c>
      <c r="E61" s="94" t="s">
        <v>88</v>
      </c>
      <c r="F61" s="94">
        <v>10</v>
      </c>
      <c r="G61" s="95" t="s">
        <v>19</v>
      </c>
      <c r="H61" s="96" t="s">
        <v>22</v>
      </c>
      <c r="I61" s="100"/>
    </row>
    <row r="62" ht="18" customHeight="1" spans="1:9">
      <c r="A62" s="106"/>
      <c r="B62" s="91">
        <v>48</v>
      </c>
      <c r="C62" s="92" t="s">
        <v>86</v>
      </c>
      <c r="D62" s="93" t="s">
        <v>90</v>
      </c>
      <c r="E62" s="94" t="s">
        <v>88</v>
      </c>
      <c r="F62" s="94">
        <v>10</v>
      </c>
      <c r="G62" s="95" t="s">
        <v>21</v>
      </c>
      <c r="H62" s="96" t="s">
        <v>22</v>
      </c>
      <c r="I62" s="97"/>
    </row>
    <row r="63" ht="18" customHeight="1" spans="1:9">
      <c r="A63" s="106"/>
      <c r="B63" s="98">
        <v>49</v>
      </c>
      <c r="C63" s="92" t="s">
        <v>86</v>
      </c>
      <c r="D63" s="99" t="s">
        <v>91</v>
      </c>
      <c r="E63" s="94" t="s">
        <v>88</v>
      </c>
      <c r="F63" s="94">
        <v>10</v>
      </c>
      <c r="G63" s="95" t="s">
        <v>24</v>
      </c>
      <c r="H63" s="96" t="s">
        <v>22</v>
      </c>
      <c r="I63" s="100"/>
    </row>
    <row r="64" ht="18" customHeight="1" spans="1:9">
      <c r="A64" s="106"/>
      <c r="B64" s="91">
        <v>50</v>
      </c>
      <c r="C64" s="92" t="s">
        <v>86</v>
      </c>
      <c r="D64" s="93" t="s">
        <v>92</v>
      </c>
      <c r="E64" s="94" t="s">
        <v>88</v>
      </c>
      <c r="F64" s="94">
        <v>10</v>
      </c>
      <c r="G64" s="95" t="s">
        <v>26</v>
      </c>
      <c r="H64" s="96" t="s">
        <v>22</v>
      </c>
      <c r="I64" s="97"/>
    </row>
    <row r="65" ht="16.5" customHeight="1" spans="1:9">
      <c r="A65" s="105" t="s">
        <v>93</v>
      </c>
      <c r="B65" s="105"/>
      <c r="C65" s="105"/>
      <c r="D65" s="105"/>
      <c r="E65" s="105"/>
      <c r="F65" s="105"/>
      <c r="G65" s="105"/>
      <c r="H65" s="105"/>
      <c r="I65" s="105"/>
    </row>
    <row r="66" ht="18" customHeight="1" spans="1:9">
      <c r="A66" s="106"/>
      <c r="B66" s="91">
        <v>51</v>
      </c>
      <c r="C66" s="92" t="s">
        <v>86</v>
      </c>
      <c r="D66" s="93" t="s">
        <v>94</v>
      </c>
      <c r="E66" s="94" t="s">
        <v>95</v>
      </c>
      <c r="F66" s="94">
        <v>11</v>
      </c>
      <c r="G66" s="95" t="s">
        <v>16</v>
      </c>
      <c r="H66" s="96" t="s">
        <v>22</v>
      </c>
      <c r="I66" s="97"/>
    </row>
    <row r="67" ht="18" customHeight="1" spans="1:9">
      <c r="A67" s="106"/>
      <c r="B67" s="98">
        <v>52</v>
      </c>
      <c r="C67" s="92" t="s">
        <v>86</v>
      </c>
      <c r="D67" s="99" t="s">
        <v>96</v>
      </c>
      <c r="E67" s="94" t="s">
        <v>95</v>
      </c>
      <c r="F67" s="94">
        <v>11</v>
      </c>
      <c r="G67" s="95" t="s">
        <v>19</v>
      </c>
      <c r="H67" s="96" t="s">
        <v>22</v>
      </c>
      <c r="I67" s="100"/>
    </row>
    <row r="68" ht="18" customHeight="1" spans="1:9">
      <c r="A68" s="106"/>
      <c r="B68" s="91">
        <v>53</v>
      </c>
      <c r="C68" s="92" t="s">
        <v>86</v>
      </c>
      <c r="D68" s="93" t="s">
        <v>97</v>
      </c>
      <c r="E68" s="94" t="s">
        <v>95</v>
      </c>
      <c r="F68" s="94">
        <v>11</v>
      </c>
      <c r="G68" s="95" t="s">
        <v>21</v>
      </c>
      <c r="H68" s="96" t="s">
        <v>22</v>
      </c>
      <c r="I68" s="97"/>
    </row>
    <row r="69" ht="18" customHeight="1" spans="1:9">
      <c r="A69" s="106"/>
      <c r="B69" s="98">
        <v>54</v>
      </c>
      <c r="C69" s="92" t="s">
        <v>86</v>
      </c>
      <c r="D69" s="99" t="s">
        <v>98</v>
      </c>
      <c r="E69" s="94" t="s">
        <v>95</v>
      </c>
      <c r="F69" s="94">
        <v>11</v>
      </c>
      <c r="G69" s="95" t="s">
        <v>24</v>
      </c>
      <c r="H69" s="96" t="s">
        <v>22</v>
      </c>
      <c r="I69" s="100"/>
    </row>
    <row r="70" ht="18" customHeight="1" spans="1:9">
      <c r="A70" s="106"/>
      <c r="B70" s="91">
        <v>55</v>
      </c>
      <c r="C70" s="92" t="s">
        <v>86</v>
      </c>
      <c r="D70" s="93" t="s">
        <v>99</v>
      </c>
      <c r="E70" s="94" t="s">
        <v>95</v>
      </c>
      <c r="F70" s="94">
        <v>11</v>
      </c>
      <c r="G70" s="95" t="s">
        <v>26</v>
      </c>
      <c r="H70" s="96" t="s">
        <v>22</v>
      </c>
      <c r="I70" s="97"/>
    </row>
    <row r="71" ht="16.5" customHeight="1" spans="1:9">
      <c r="A71" s="105" t="s">
        <v>100</v>
      </c>
      <c r="B71" s="105"/>
      <c r="C71" s="105"/>
      <c r="D71" s="105"/>
      <c r="E71" s="105"/>
      <c r="F71" s="105"/>
      <c r="G71" s="105"/>
      <c r="H71" s="105"/>
      <c r="I71" s="105"/>
    </row>
    <row r="72" ht="18" customHeight="1" spans="1:9">
      <c r="A72" s="106"/>
      <c r="B72" s="91">
        <v>56</v>
      </c>
      <c r="C72" s="92" t="s">
        <v>86</v>
      </c>
      <c r="D72" s="93" t="s">
        <v>101</v>
      </c>
      <c r="E72" s="94" t="s">
        <v>102</v>
      </c>
      <c r="F72" s="94">
        <v>12</v>
      </c>
      <c r="G72" s="95" t="s">
        <v>16</v>
      </c>
      <c r="H72" s="96" t="s">
        <v>22</v>
      </c>
      <c r="I72" s="97"/>
    </row>
    <row r="73" ht="18" customHeight="1" spans="1:9">
      <c r="A73" s="106"/>
      <c r="B73" s="98">
        <v>57</v>
      </c>
      <c r="C73" s="92" t="s">
        <v>86</v>
      </c>
      <c r="D73" s="99" t="s">
        <v>103</v>
      </c>
      <c r="E73" s="94" t="s">
        <v>102</v>
      </c>
      <c r="F73" s="94">
        <v>12</v>
      </c>
      <c r="G73" s="95" t="s">
        <v>19</v>
      </c>
      <c r="H73" s="96" t="s">
        <v>22</v>
      </c>
      <c r="I73" s="100"/>
    </row>
    <row r="74" ht="18" customHeight="1" spans="1:9">
      <c r="A74" s="107"/>
      <c r="B74" s="91">
        <v>58</v>
      </c>
      <c r="C74" s="92" t="s">
        <v>104</v>
      </c>
      <c r="D74" s="93" t="s">
        <v>105</v>
      </c>
      <c r="E74" s="94" t="s">
        <v>102</v>
      </c>
      <c r="F74" s="94">
        <v>12</v>
      </c>
      <c r="G74" s="95" t="s">
        <v>21</v>
      </c>
      <c r="H74" s="96" t="s">
        <v>22</v>
      </c>
      <c r="I74" s="97"/>
    </row>
    <row r="75" ht="18" customHeight="1" spans="1:9">
      <c r="A75" s="107"/>
      <c r="B75" s="98">
        <v>59</v>
      </c>
      <c r="C75" s="92" t="s">
        <v>104</v>
      </c>
      <c r="D75" s="99" t="s">
        <v>106</v>
      </c>
      <c r="E75" s="94" t="s">
        <v>102</v>
      </c>
      <c r="F75" s="94">
        <v>12</v>
      </c>
      <c r="G75" s="95" t="s">
        <v>24</v>
      </c>
      <c r="H75" s="96" t="s">
        <v>22</v>
      </c>
      <c r="I75" s="100"/>
    </row>
    <row r="76" ht="18" customHeight="1" spans="1:9">
      <c r="A76" s="107"/>
      <c r="B76" s="91">
        <v>60</v>
      </c>
      <c r="C76" s="92" t="s">
        <v>104</v>
      </c>
      <c r="D76" s="93" t="s">
        <v>107</v>
      </c>
      <c r="E76" s="94" t="s">
        <v>102</v>
      </c>
      <c r="F76" s="94">
        <v>12</v>
      </c>
      <c r="G76" s="95" t="s">
        <v>26</v>
      </c>
      <c r="H76" s="96" t="s">
        <v>22</v>
      </c>
      <c r="I76" s="97"/>
    </row>
    <row r="77" ht="16.5" customHeight="1" spans="1:9">
      <c r="A77" s="108" t="s">
        <v>108</v>
      </c>
      <c r="B77" s="108"/>
      <c r="C77" s="108"/>
      <c r="D77" s="108"/>
      <c r="E77" s="108"/>
      <c r="F77" s="108"/>
      <c r="G77" s="108"/>
      <c r="H77" s="108"/>
      <c r="I77" s="108"/>
    </row>
    <row r="78" ht="18" customHeight="1" spans="1:9">
      <c r="A78" s="107"/>
      <c r="B78" s="91">
        <v>61</v>
      </c>
      <c r="C78" s="92" t="s">
        <v>104</v>
      </c>
      <c r="D78" s="93" t="s">
        <v>109</v>
      </c>
      <c r="E78" s="94" t="s">
        <v>110</v>
      </c>
      <c r="F78" s="94">
        <v>13</v>
      </c>
      <c r="G78" s="95" t="s">
        <v>16</v>
      </c>
      <c r="H78" s="96" t="s">
        <v>22</v>
      </c>
      <c r="I78" s="97"/>
    </row>
    <row r="79" ht="18" customHeight="1" spans="1:9">
      <c r="A79" s="107"/>
      <c r="B79" s="98">
        <v>62</v>
      </c>
      <c r="C79" s="92" t="s">
        <v>104</v>
      </c>
      <c r="D79" s="99" t="s">
        <v>111</v>
      </c>
      <c r="E79" s="94" t="s">
        <v>110</v>
      </c>
      <c r="F79" s="94">
        <v>13</v>
      </c>
      <c r="G79" s="95" t="s">
        <v>19</v>
      </c>
      <c r="H79" s="96" t="s">
        <v>22</v>
      </c>
      <c r="I79" s="100"/>
    </row>
    <row r="80" ht="18" customHeight="1" spans="1:9">
      <c r="A80" s="107"/>
      <c r="B80" s="91">
        <v>63</v>
      </c>
      <c r="C80" s="92" t="s">
        <v>104</v>
      </c>
      <c r="D80" s="93" t="s">
        <v>112</v>
      </c>
      <c r="E80" s="94" t="s">
        <v>110</v>
      </c>
      <c r="F80" s="94">
        <v>13</v>
      </c>
      <c r="G80" s="95" t="s">
        <v>21</v>
      </c>
      <c r="H80" s="96" t="s">
        <v>22</v>
      </c>
      <c r="I80" s="97"/>
    </row>
    <row r="81" ht="18" customHeight="1" spans="1:9">
      <c r="A81" s="107"/>
      <c r="B81" s="98">
        <v>64</v>
      </c>
      <c r="C81" s="92" t="s">
        <v>104</v>
      </c>
      <c r="D81" s="99" t="s">
        <v>113</v>
      </c>
      <c r="E81" s="94" t="s">
        <v>110</v>
      </c>
      <c r="F81" s="94">
        <v>13</v>
      </c>
      <c r="G81" s="95" t="s">
        <v>24</v>
      </c>
      <c r="H81" s="96" t="s">
        <v>22</v>
      </c>
      <c r="I81" s="100"/>
    </row>
    <row r="82" ht="18" customHeight="1" spans="1:9">
      <c r="A82" s="107"/>
      <c r="B82" s="91">
        <v>65</v>
      </c>
      <c r="C82" s="92" t="s">
        <v>104</v>
      </c>
      <c r="D82" s="93" t="s">
        <v>114</v>
      </c>
      <c r="E82" s="94" t="s">
        <v>110</v>
      </c>
      <c r="F82" s="94">
        <v>13</v>
      </c>
      <c r="G82" s="95" t="s">
        <v>26</v>
      </c>
      <c r="H82" s="96" t="s">
        <v>22</v>
      </c>
      <c r="I82" s="97"/>
    </row>
    <row r="83" ht="16.5" customHeight="1" spans="1:9">
      <c r="A83" s="108" t="s">
        <v>115</v>
      </c>
      <c r="B83" s="108"/>
      <c r="C83" s="108"/>
      <c r="D83" s="108"/>
      <c r="E83" s="108"/>
      <c r="F83" s="108"/>
      <c r="G83" s="108"/>
      <c r="H83" s="108"/>
      <c r="I83" s="108"/>
    </row>
    <row r="84" ht="18" customHeight="1" spans="1:9">
      <c r="A84" s="107"/>
      <c r="B84" s="91">
        <v>66</v>
      </c>
      <c r="C84" s="92" t="s">
        <v>104</v>
      </c>
      <c r="D84" s="93" t="s">
        <v>116</v>
      </c>
      <c r="E84" s="94" t="s">
        <v>117</v>
      </c>
      <c r="F84" s="94">
        <v>14</v>
      </c>
      <c r="G84" s="95" t="s">
        <v>16</v>
      </c>
      <c r="H84" s="96" t="s">
        <v>22</v>
      </c>
      <c r="I84" s="97"/>
    </row>
    <row r="85" ht="18" customHeight="1" spans="1:9">
      <c r="A85" s="107"/>
      <c r="B85" s="98">
        <v>67</v>
      </c>
      <c r="C85" s="92" t="s">
        <v>104</v>
      </c>
      <c r="D85" s="99" t="s">
        <v>118</v>
      </c>
      <c r="E85" s="94" t="s">
        <v>117</v>
      </c>
      <c r="F85" s="94">
        <v>14</v>
      </c>
      <c r="G85" s="95" t="s">
        <v>19</v>
      </c>
      <c r="H85" s="96" t="s">
        <v>22</v>
      </c>
      <c r="I85" s="100"/>
    </row>
    <row r="86" ht="18" customHeight="1" spans="1:9">
      <c r="A86" s="107"/>
      <c r="B86" s="91">
        <v>68</v>
      </c>
      <c r="C86" s="92" t="s">
        <v>104</v>
      </c>
      <c r="D86" s="93" t="s">
        <v>119</v>
      </c>
      <c r="E86" s="94" t="s">
        <v>117</v>
      </c>
      <c r="F86" s="94">
        <v>14</v>
      </c>
      <c r="G86" s="95" t="s">
        <v>21</v>
      </c>
      <c r="H86" s="96" t="s">
        <v>22</v>
      </c>
      <c r="I86" s="97"/>
    </row>
    <row r="87" ht="18" customHeight="1" spans="1:9">
      <c r="A87" s="107"/>
      <c r="B87" s="98">
        <v>69</v>
      </c>
      <c r="C87" s="92" t="s">
        <v>104</v>
      </c>
      <c r="D87" s="99" t="s">
        <v>120</v>
      </c>
      <c r="E87" s="94" t="s">
        <v>117</v>
      </c>
      <c r="F87" s="94">
        <v>14</v>
      </c>
      <c r="G87" s="95" t="s">
        <v>24</v>
      </c>
      <c r="H87" s="96" t="s">
        <v>22</v>
      </c>
      <c r="I87" s="100"/>
    </row>
    <row r="88" ht="18" customHeight="1" spans="1:9">
      <c r="A88" s="107"/>
      <c r="B88" s="91">
        <v>70</v>
      </c>
      <c r="C88" s="92" t="s">
        <v>104</v>
      </c>
      <c r="D88" s="93" t="s">
        <v>121</v>
      </c>
      <c r="E88" s="94" t="s">
        <v>117</v>
      </c>
      <c r="F88" s="94">
        <v>14</v>
      </c>
      <c r="G88" s="95" t="s">
        <v>26</v>
      </c>
      <c r="H88" s="96" t="s">
        <v>22</v>
      </c>
      <c r="I88" s="97"/>
    </row>
    <row r="89" ht="16.5" customHeight="1" spans="1:9">
      <c r="A89" s="108" t="s">
        <v>122</v>
      </c>
      <c r="B89" s="108"/>
      <c r="C89" s="108"/>
      <c r="D89" s="108"/>
      <c r="E89" s="108"/>
      <c r="F89" s="108"/>
      <c r="G89" s="108"/>
      <c r="H89" s="108"/>
      <c r="I89" s="108"/>
    </row>
    <row r="90" ht="18" customHeight="1" spans="1:9">
      <c r="A90" s="107"/>
      <c r="B90" s="91">
        <v>71</v>
      </c>
      <c r="C90" s="92" t="s">
        <v>104</v>
      </c>
      <c r="D90" s="93" t="s">
        <v>123</v>
      </c>
      <c r="E90" s="94" t="s">
        <v>124</v>
      </c>
      <c r="F90" s="94">
        <v>15</v>
      </c>
      <c r="G90" s="95" t="s">
        <v>16</v>
      </c>
      <c r="H90" s="96" t="s">
        <v>22</v>
      </c>
      <c r="I90" s="97"/>
    </row>
    <row r="91" ht="18" customHeight="1" spans="1:9">
      <c r="A91" s="107"/>
      <c r="B91" s="98">
        <v>72</v>
      </c>
      <c r="C91" s="92" t="s">
        <v>104</v>
      </c>
      <c r="D91" s="99" t="s">
        <v>125</v>
      </c>
      <c r="E91" s="94" t="s">
        <v>124</v>
      </c>
      <c r="F91" s="94">
        <v>15</v>
      </c>
      <c r="G91" s="95" t="s">
        <v>19</v>
      </c>
      <c r="H91" s="96" t="s">
        <v>22</v>
      </c>
      <c r="I91" s="100"/>
    </row>
    <row r="92" ht="18" customHeight="1" spans="1:9">
      <c r="A92" s="107"/>
      <c r="B92" s="91">
        <v>73</v>
      </c>
      <c r="C92" s="92" t="s">
        <v>104</v>
      </c>
      <c r="D92" s="93" t="s">
        <v>126</v>
      </c>
      <c r="E92" s="94" t="s">
        <v>124</v>
      </c>
      <c r="F92" s="94">
        <v>15</v>
      </c>
      <c r="G92" s="95" t="s">
        <v>21</v>
      </c>
      <c r="H92" s="96" t="s">
        <v>22</v>
      </c>
      <c r="I92" s="97"/>
    </row>
    <row r="93" ht="18" customHeight="1" spans="1:9">
      <c r="A93" s="107"/>
      <c r="B93" s="98">
        <v>74</v>
      </c>
      <c r="C93" s="92" t="s">
        <v>104</v>
      </c>
      <c r="D93" s="99" t="s">
        <v>127</v>
      </c>
      <c r="E93" s="94" t="s">
        <v>124</v>
      </c>
      <c r="F93" s="94">
        <v>15</v>
      </c>
      <c r="G93" s="95" t="s">
        <v>24</v>
      </c>
      <c r="H93" s="96" t="s">
        <v>22</v>
      </c>
      <c r="I93" s="100"/>
    </row>
    <row r="94" ht="18" customHeight="1" spans="1:9">
      <c r="A94" s="109"/>
      <c r="B94" s="91">
        <v>75</v>
      </c>
      <c r="C94" s="92" t="s">
        <v>128</v>
      </c>
      <c r="D94" s="93" t="s">
        <v>129</v>
      </c>
      <c r="E94" s="94" t="s">
        <v>124</v>
      </c>
      <c r="F94" s="94">
        <v>15</v>
      </c>
      <c r="G94" s="95" t="s">
        <v>26</v>
      </c>
      <c r="H94" s="96" t="s">
        <v>22</v>
      </c>
      <c r="I94" s="97"/>
    </row>
    <row r="95" ht="16.5" customHeight="1" spans="1:9">
      <c r="A95" s="110" t="s">
        <v>130</v>
      </c>
      <c r="B95" s="110"/>
      <c r="C95" s="110"/>
      <c r="D95" s="110"/>
      <c r="E95" s="110"/>
      <c r="F95" s="110"/>
      <c r="G95" s="110"/>
      <c r="H95" s="110"/>
      <c r="I95" s="110"/>
    </row>
    <row r="96" ht="18" customHeight="1" spans="1:9">
      <c r="A96" s="109"/>
      <c r="B96" s="91">
        <v>76</v>
      </c>
      <c r="C96" s="92" t="s">
        <v>128</v>
      </c>
      <c r="D96" s="93" t="s">
        <v>131</v>
      </c>
      <c r="E96" s="94" t="s">
        <v>132</v>
      </c>
      <c r="F96" s="94">
        <v>16</v>
      </c>
      <c r="G96" s="95" t="s">
        <v>16</v>
      </c>
      <c r="H96" s="96" t="s">
        <v>22</v>
      </c>
      <c r="I96" s="97"/>
    </row>
    <row r="97" ht="18" customHeight="1" spans="1:9">
      <c r="A97" s="109"/>
      <c r="B97" s="98">
        <v>77</v>
      </c>
      <c r="C97" s="92" t="s">
        <v>128</v>
      </c>
      <c r="D97" s="99" t="s">
        <v>133</v>
      </c>
      <c r="E97" s="94" t="s">
        <v>132</v>
      </c>
      <c r="F97" s="94">
        <v>16</v>
      </c>
      <c r="G97" s="95" t="s">
        <v>19</v>
      </c>
      <c r="H97" s="96" t="s">
        <v>22</v>
      </c>
      <c r="I97" s="100"/>
    </row>
    <row r="98" ht="18" customHeight="1" spans="1:9">
      <c r="A98" s="109"/>
      <c r="B98" s="91">
        <v>78</v>
      </c>
      <c r="C98" s="92" t="s">
        <v>128</v>
      </c>
      <c r="D98" s="93" t="s">
        <v>134</v>
      </c>
      <c r="E98" s="94" t="s">
        <v>132</v>
      </c>
      <c r="F98" s="94">
        <v>16</v>
      </c>
      <c r="G98" s="95" t="s">
        <v>21</v>
      </c>
      <c r="H98" s="96" t="s">
        <v>22</v>
      </c>
      <c r="I98" s="97"/>
    </row>
    <row r="99" ht="18" customHeight="1" spans="1:9">
      <c r="A99" s="109"/>
      <c r="B99" s="98">
        <v>79</v>
      </c>
      <c r="C99" s="92" t="s">
        <v>128</v>
      </c>
      <c r="D99" s="99" t="s">
        <v>135</v>
      </c>
      <c r="E99" s="94" t="s">
        <v>132</v>
      </c>
      <c r="F99" s="94">
        <v>16</v>
      </c>
      <c r="G99" s="95" t="s">
        <v>24</v>
      </c>
      <c r="H99" s="96" t="s">
        <v>22</v>
      </c>
      <c r="I99" s="100"/>
    </row>
    <row r="100" ht="18" customHeight="1" spans="1:9">
      <c r="A100" s="109"/>
      <c r="B100" s="91">
        <v>80</v>
      </c>
      <c r="C100" s="92" t="s">
        <v>128</v>
      </c>
      <c r="D100" s="93" t="s">
        <v>136</v>
      </c>
      <c r="E100" s="94" t="s">
        <v>132</v>
      </c>
      <c r="F100" s="94">
        <v>16</v>
      </c>
      <c r="G100" s="95" t="s">
        <v>26</v>
      </c>
      <c r="H100" s="96" t="s">
        <v>22</v>
      </c>
      <c r="I100" s="97"/>
    </row>
    <row r="101" ht="16.5" customHeight="1" spans="1:9">
      <c r="A101" s="110" t="s">
        <v>137</v>
      </c>
      <c r="B101" s="110"/>
      <c r="C101" s="110"/>
      <c r="D101" s="110"/>
      <c r="E101" s="110"/>
      <c r="F101" s="110"/>
      <c r="G101" s="110"/>
      <c r="H101" s="110"/>
      <c r="I101" s="110"/>
    </row>
    <row r="102" ht="18" customHeight="1" spans="1:9">
      <c r="A102" s="109"/>
      <c r="B102" s="91">
        <v>81</v>
      </c>
      <c r="C102" s="92" t="s">
        <v>128</v>
      </c>
      <c r="D102" s="93" t="s">
        <v>138</v>
      </c>
      <c r="E102" s="94" t="s">
        <v>139</v>
      </c>
      <c r="F102" s="94">
        <v>17</v>
      </c>
      <c r="G102" s="95" t="s">
        <v>16</v>
      </c>
      <c r="H102" s="96" t="s">
        <v>22</v>
      </c>
      <c r="I102" s="97"/>
    </row>
    <row r="103" ht="18" customHeight="1" spans="1:9">
      <c r="A103" s="109"/>
      <c r="B103" s="98">
        <v>82</v>
      </c>
      <c r="C103" s="92" t="s">
        <v>128</v>
      </c>
      <c r="D103" s="99" t="s">
        <v>140</v>
      </c>
      <c r="E103" s="94" t="s">
        <v>139</v>
      </c>
      <c r="F103" s="94">
        <v>17</v>
      </c>
      <c r="G103" s="95" t="s">
        <v>19</v>
      </c>
      <c r="H103" s="96" t="s">
        <v>22</v>
      </c>
      <c r="I103" s="100"/>
    </row>
    <row r="104" ht="18" customHeight="1" spans="1:9">
      <c r="A104" s="109"/>
      <c r="B104" s="91">
        <v>83</v>
      </c>
      <c r="C104" s="92" t="s">
        <v>128</v>
      </c>
      <c r="D104" s="93" t="s">
        <v>141</v>
      </c>
      <c r="E104" s="94" t="s">
        <v>139</v>
      </c>
      <c r="F104" s="94">
        <v>17</v>
      </c>
      <c r="G104" s="95" t="s">
        <v>21</v>
      </c>
      <c r="H104" s="96" t="s">
        <v>22</v>
      </c>
      <c r="I104" s="97"/>
    </row>
    <row r="105" ht="18" customHeight="1" spans="1:9">
      <c r="A105" s="109"/>
      <c r="B105" s="98">
        <v>84</v>
      </c>
      <c r="C105" s="92" t="s">
        <v>128</v>
      </c>
      <c r="D105" s="99" t="s">
        <v>142</v>
      </c>
      <c r="E105" s="94" t="s">
        <v>139</v>
      </c>
      <c r="F105" s="94">
        <v>17</v>
      </c>
      <c r="G105" s="95" t="s">
        <v>24</v>
      </c>
      <c r="H105" s="96" t="s">
        <v>22</v>
      </c>
      <c r="I105" s="100"/>
    </row>
    <row r="106" ht="18" customHeight="1" spans="1:9">
      <c r="A106" s="109"/>
      <c r="B106" s="91">
        <v>85</v>
      </c>
      <c r="C106" s="92" t="s">
        <v>128</v>
      </c>
      <c r="D106" s="93" t="s">
        <v>143</v>
      </c>
      <c r="E106" s="94" t="s">
        <v>139</v>
      </c>
      <c r="F106" s="94">
        <v>17</v>
      </c>
      <c r="G106" s="95" t="s">
        <v>26</v>
      </c>
      <c r="H106" s="96" t="s">
        <v>22</v>
      </c>
      <c r="I106" s="97"/>
    </row>
    <row r="107" ht="16.5" customHeight="1" spans="1:9">
      <c r="A107" s="111" t="s">
        <v>144</v>
      </c>
      <c r="B107" s="111"/>
      <c r="C107" s="111"/>
      <c r="D107" s="111"/>
      <c r="E107" s="111"/>
      <c r="F107" s="111"/>
      <c r="G107" s="111"/>
      <c r="H107" s="111"/>
      <c r="I107" s="111"/>
    </row>
    <row r="108" ht="18" customHeight="1" spans="1:9">
      <c r="A108" s="112"/>
      <c r="B108" s="91">
        <v>86</v>
      </c>
      <c r="C108" s="92" t="s">
        <v>145</v>
      </c>
      <c r="D108" s="93" t="s">
        <v>145</v>
      </c>
      <c r="E108" s="94" t="s">
        <v>146</v>
      </c>
      <c r="F108" s="94">
        <v>18</v>
      </c>
      <c r="G108" s="95" t="s">
        <v>16</v>
      </c>
      <c r="H108" s="96" t="s">
        <v>22</v>
      </c>
      <c r="I108" s="97"/>
    </row>
    <row r="109" ht="18" customHeight="1" spans="1:9">
      <c r="A109" s="112"/>
      <c r="B109" s="98">
        <v>87</v>
      </c>
      <c r="C109" s="92" t="s">
        <v>145</v>
      </c>
      <c r="D109" s="99" t="s">
        <v>147</v>
      </c>
      <c r="E109" s="94" t="s">
        <v>146</v>
      </c>
      <c r="F109" s="94">
        <v>18</v>
      </c>
      <c r="G109" s="95" t="s">
        <v>19</v>
      </c>
      <c r="H109" s="96" t="s">
        <v>22</v>
      </c>
      <c r="I109" s="100"/>
    </row>
    <row r="110" ht="18" customHeight="1" spans="1:9">
      <c r="A110" s="112"/>
      <c r="B110" s="91">
        <v>88</v>
      </c>
      <c r="C110" s="92" t="s">
        <v>145</v>
      </c>
      <c r="D110" s="93" t="s">
        <v>148</v>
      </c>
      <c r="E110" s="94" t="s">
        <v>146</v>
      </c>
      <c r="F110" s="94">
        <v>18</v>
      </c>
      <c r="G110" s="95" t="s">
        <v>21</v>
      </c>
      <c r="H110" s="96" t="s">
        <v>22</v>
      </c>
      <c r="I110" s="97"/>
    </row>
    <row r="111" ht="18" customHeight="1" spans="1:9">
      <c r="A111" s="112"/>
      <c r="B111" s="98">
        <v>89</v>
      </c>
      <c r="C111" s="92" t="s">
        <v>145</v>
      </c>
      <c r="D111" s="99" t="s">
        <v>149</v>
      </c>
      <c r="E111" s="94" t="s">
        <v>146</v>
      </c>
      <c r="F111" s="94">
        <v>18</v>
      </c>
      <c r="G111" s="95" t="s">
        <v>24</v>
      </c>
      <c r="H111" s="96" t="s">
        <v>22</v>
      </c>
      <c r="I111" s="100"/>
    </row>
    <row r="112" ht="18" customHeight="1" spans="1:9">
      <c r="A112" s="112"/>
      <c r="B112" s="91">
        <v>90</v>
      </c>
      <c r="C112" s="92" t="s">
        <v>145</v>
      </c>
      <c r="D112" s="93" t="s">
        <v>150</v>
      </c>
      <c r="E112" s="94" t="s">
        <v>146</v>
      </c>
      <c r="F112" s="94">
        <v>18</v>
      </c>
      <c r="G112" s="95" t="s">
        <v>26</v>
      </c>
      <c r="H112" s="96" t="s">
        <v>22</v>
      </c>
      <c r="I112" s="97"/>
    </row>
    <row r="113" ht="16.5" customHeight="1" spans="1:9">
      <c r="A113" s="111" t="s">
        <v>151</v>
      </c>
      <c r="B113" s="111"/>
      <c r="C113" s="111"/>
      <c r="D113" s="111"/>
      <c r="E113" s="111"/>
      <c r="F113" s="111"/>
      <c r="G113" s="111"/>
      <c r="H113" s="111"/>
      <c r="I113" s="111"/>
    </row>
    <row r="114" ht="18" customHeight="1" spans="1:9">
      <c r="A114" s="112"/>
      <c r="B114" s="91">
        <v>91</v>
      </c>
      <c r="C114" s="92" t="s">
        <v>145</v>
      </c>
      <c r="D114" s="93" t="s">
        <v>152</v>
      </c>
      <c r="E114" s="94" t="s">
        <v>153</v>
      </c>
      <c r="F114" s="94">
        <v>19</v>
      </c>
      <c r="G114" s="95" t="s">
        <v>16</v>
      </c>
      <c r="H114" s="96" t="s">
        <v>22</v>
      </c>
      <c r="I114" s="97"/>
    </row>
    <row r="115" ht="18" customHeight="1" spans="1:9">
      <c r="A115" s="112"/>
      <c r="B115" s="98">
        <v>92</v>
      </c>
      <c r="C115" s="92" t="s">
        <v>145</v>
      </c>
      <c r="D115" s="99" t="s">
        <v>154</v>
      </c>
      <c r="E115" s="94" t="s">
        <v>153</v>
      </c>
      <c r="F115" s="94">
        <v>19</v>
      </c>
      <c r="G115" s="95" t="s">
        <v>19</v>
      </c>
      <c r="H115" s="96" t="s">
        <v>22</v>
      </c>
      <c r="I115" s="100"/>
    </row>
    <row r="116" ht="18" customHeight="1" spans="1:9">
      <c r="A116" s="112"/>
      <c r="B116" s="91">
        <v>93</v>
      </c>
      <c r="C116" s="92" t="s">
        <v>145</v>
      </c>
      <c r="D116" s="93" t="s">
        <v>155</v>
      </c>
      <c r="E116" s="94" t="s">
        <v>153</v>
      </c>
      <c r="F116" s="94">
        <v>19</v>
      </c>
      <c r="G116" s="95" t="s">
        <v>21</v>
      </c>
      <c r="H116" s="96" t="s">
        <v>22</v>
      </c>
      <c r="I116" s="97"/>
    </row>
    <row r="117" ht="18" customHeight="1" spans="1:9">
      <c r="A117" s="113"/>
      <c r="B117" s="98">
        <v>94</v>
      </c>
      <c r="C117" s="92" t="s">
        <v>156</v>
      </c>
      <c r="D117" s="99" t="s">
        <v>157</v>
      </c>
      <c r="E117" s="94" t="s">
        <v>153</v>
      </c>
      <c r="F117" s="94">
        <v>19</v>
      </c>
      <c r="G117" s="95" t="s">
        <v>24</v>
      </c>
      <c r="H117" s="96" t="s">
        <v>22</v>
      </c>
      <c r="I117" s="100"/>
    </row>
    <row r="118" ht="18" customHeight="1" spans="1:9">
      <c r="A118" s="113"/>
      <c r="B118" s="91">
        <v>95</v>
      </c>
      <c r="C118" s="92" t="s">
        <v>156</v>
      </c>
      <c r="D118" s="93" t="s">
        <v>158</v>
      </c>
      <c r="E118" s="94" t="s">
        <v>153</v>
      </c>
      <c r="F118" s="94">
        <v>19</v>
      </c>
      <c r="G118" s="95" t="s">
        <v>26</v>
      </c>
      <c r="H118" s="96" t="s">
        <v>22</v>
      </c>
      <c r="I118" s="97"/>
    </row>
    <row r="119" ht="16.5" customHeight="1" spans="1:9">
      <c r="A119" s="114" t="s">
        <v>159</v>
      </c>
      <c r="B119" s="114"/>
      <c r="C119" s="114"/>
      <c r="D119" s="114"/>
      <c r="E119" s="114"/>
      <c r="F119" s="114"/>
      <c r="G119" s="114"/>
      <c r="H119" s="114"/>
      <c r="I119" s="114"/>
    </row>
    <row r="120" ht="18" customHeight="1" spans="1:9">
      <c r="A120" s="113"/>
      <c r="B120" s="91">
        <v>96</v>
      </c>
      <c r="C120" s="92" t="s">
        <v>156</v>
      </c>
      <c r="D120" s="93" t="s">
        <v>160</v>
      </c>
      <c r="E120" s="94" t="s">
        <v>161</v>
      </c>
      <c r="F120" s="94">
        <v>20</v>
      </c>
      <c r="G120" s="95" t="s">
        <v>16</v>
      </c>
      <c r="H120" s="96" t="s">
        <v>22</v>
      </c>
      <c r="I120" s="97"/>
    </row>
    <row r="121" ht="18" customHeight="1" spans="1:9">
      <c r="A121" s="113"/>
      <c r="B121" s="98">
        <v>97</v>
      </c>
      <c r="C121" s="92" t="s">
        <v>156</v>
      </c>
      <c r="D121" s="99" t="s">
        <v>162</v>
      </c>
      <c r="E121" s="94" t="s">
        <v>161</v>
      </c>
      <c r="F121" s="94">
        <v>20</v>
      </c>
      <c r="G121" s="95" t="s">
        <v>19</v>
      </c>
      <c r="H121" s="96" t="s">
        <v>22</v>
      </c>
      <c r="I121" s="100"/>
    </row>
    <row r="122" ht="18" customHeight="1" spans="1:9">
      <c r="A122" s="113"/>
      <c r="B122" s="91">
        <v>98</v>
      </c>
      <c r="C122" s="92" t="s">
        <v>156</v>
      </c>
      <c r="D122" s="93" t="s">
        <v>163</v>
      </c>
      <c r="E122" s="94" t="s">
        <v>161</v>
      </c>
      <c r="F122" s="94">
        <v>20</v>
      </c>
      <c r="G122" s="95" t="s">
        <v>21</v>
      </c>
      <c r="H122" s="96" t="s">
        <v>22</v>
      </c>
      <c r="I122" s="97"/>
    </row>
    <row r="123" ht="18" customHeight="1" spans="1:9">
      <c r="A123" s="113"/>
      <c r="B123" s="98">
        <v>99</v>
      </c>
      <c r="C123" s="92" t="s">
        <v>156</v>
      </c>
      <c r="D123" s="99" t="s">
        <v>164</v>
      </c>
      <c r="E123" s="94" t="s">
        <v>161</v>
      </c>
      <c r="F123" s="94">
        <v>20</v>
      </c>
      <c r="G123" s="95" t="s">
        <v>24</v>
      </c>
      <c r="H123" s="96" t="s">
        <v>22</v>
      </c>
      <c r="I123" s="100"/>
    </row>
    <row r="124" ht="18" customHeight="1" spans="1:9">
      <c r="A124" s="113"/>
      <c r="B124" s="91">
        <v>100</v>
      </c>
      <c r="C124" s="92" t="s">
        <v>156</v>
      </c>
      <c r="D124" s="93" t="s">
        <v>165</v>
      </c>
      <c r="E124" s="94" t="s">
        <v>161</v>
      </c>
      <c r="F124" s="94">
        <v>20</v>
      </c>
      <c r="G124" s="95" t="s">
        <v>26</v>
      </c>
      <c r="H124" s="96" t="s">
        <v>22</v>
      </c>
      <c r="I124" s="97"/>
    </row>
    <row r="125" ht="16.5" customHeight="1" spans="1:9">
      <c r="A125" s="115" t="s">
        <v>166</v>
      </c>
      <c r="B125" s="115"/>
      <c r="C125" s="115"/>
      <c r="D125" s="115"/>
      <c r="E125" s="115"/>
      <c r="F125" s="115"/>
      <c r="G125" s="115"/>
      <c r="H125" s="115"/>
      <c r="I125" s="115"/>
    </row>
    <row r="126" ht="18" customHeight="1" spans="1:9">
      <c r="A126" s="116"/>
      <c r="B126" s="91">
        <v>101</v>
      </c>
      <c r="C126" s="92" t="s">
        <v>167</v>
      </c>
      <c r="D126" s="93" t="s">
        <v>168</v>
      </c>
      <c r="E126" s="94" t="s">
        <v>169</v>
      </c>
      <c r="F126" s="94">
        <v>21</v>
      </c>
      <c r="G126" s="95" t="s">
        <v>16</v>
      </c>
      <c r="H126" s="96" t="s">
        <v>22</v>
      </c>
      <c r="I126" s="97"/>
    </row>
    <row r="127" ht="18" customHeight="1" spans="1:9">
      <c r="A127" s="116"/>
      <c r="B127" s="98">
        <v>102</v>
      </c>
      <c r="C127" s="92" t="s">
        <v>167</v>
      </c>
      <c r="D127" s="99" t="s">
        <v>170</v>
      </c>
      <c r="E127" s="94" t="s">
        <v>169</v>
      </c>
      <c r="F127" s="94">
        <v>21</v>
      </c>
      <c r="G127" s="95" t="s">
        <v>19</v>
      </c>
      <c r="H127" s="96" t="s">
        <v>22</v>
      </c>
      <c r="I127" s="100"/>
    </row>
    <row r="128" ht="18" customHeight="1" spans="1:9">
      <c r="A128" s="116"/>
      <c r="B128" s="91">
        <v>103</v>
      </c>
      <c r="C128" s="92" t="s">
        <v>167</v>
      </c>
      <c r="D128" s="93" t="s">
        <v>171</v>
      </c>
      <c r="E128" s="94" t="s">
        <v>169</v>
      </c>
      <c r="F128" s="94">
        <v>21</v>
      </c>
      <c r="G128" s="95" t="s">
        <v>21</v>
      </c>
      <c r="H128" s="96" t="s">
        <v>22</v>
      </c>
      <c r="I128" s="97"/>
    </row>
    <row r="129" ht="18" customHeight="1" spans="1:9">
      <c r="A129" s="116"/>
      <c r="B129" s="98">
        <v>104</v>
      </c>
      <c r="C129" s="92" t="s">
        <v>167</v>
      </c>
      <c r="D129" s="99" t="s">
        <v>172</v>
      </c>
      <c r="E129" s="94" t="s">
        <v>169</v>
      </c>
      <c r="F129" s="94">
        <v>21</v>
      </c>
      <c r="G129" s="95" t="s">
        <v>24</v>
      </c>
      <c r="H129" s="96" t="s">
        <v>22</v>
      </c>
      <c r="I129" s="100"/>
    </row>
    <row r="130" ht="18" customHeight="1" spans="1:9">
      <c r="A130" s="116"/>
      <c r="B130" s="91">
        <v>105</v>
      </c>
      <c r="C130" s="92" t="s">
        <v>167</v>
      </c>
      <c r="D130" s="93" t="s">
        <v>173</v>
      </c>
      <c r="E130" s="94" t="s">
        <v>169</v>
      </c>
      <c r="F130" s="94">
        <v>21</v>
      </c>
      <c r="G130" s="95" t="s">
        <v>26</v>
      </c>
      <c r="H130" s="96" t="s">
        <v>22</v>
      </c>
      <c r="I130" s="97"/>
    </row>
    <row r="131" ht="16.5" customHeight="1" spans="1:9">
      <c r="A131" s="115" t="s">
        <v>174</v>
      </c>
      <c r="B131" s="115"/>
      <c r="C131" s="115"/>
      <c r="D131" s="115"/>
      <c r="E131" s="115"/>
      <c r="F131" s="115"/>
      <c r="G131" s="115"/>
      <c r="H131" s="115"/>
      <c r="I131" s="115"/>
    </row>
    <row r="132" ht="18" customHeight="1" spans="1:9">
      <c r="A132" s="116"/>
      <c r="B132" s="91">
        <v>106</v>
      </c>
      <c r="C132" s="92" t="s">
        <v>167</v>
      </c>
      <c r="D132" s="93" t="s">
        <v>175</v>
      </c>
      <c r="E132" s="94" t="s">
        <v>176</v>
      </c>
      <c r="F132" s="94">
        <v>22</v>
      </c>
      <c r="G132" s="95" t="s">
        <v>16</v>
      </c>
      <c r="H132" s="96" t="s">
        <v>22</v>
      </c>
      <c r="I132" s="97"/>
    </row>
    <row r="133" ht="18" customHeight="1" spans="1:9">
      <c r="A133" s="116"/>
      <c r="B133" s="98">
        <v>107</v>
      </c>
      <c r="C133" s="92" t="s">
        <v>167</v>
      </c>
      <c r="D133" s="99" t="s">
        <v>177</v>
      </c>
      <c r="E133" s="94" t="s">
        <v>176</v>
      </c>
      <c r="F133" s="94">
        <v>22</v>
      </c>
      <c r="G133" s="95" t="s">
        <v>19</v>
      </c>
      <c r="H133" s="96" t="s">
        <v>22</v>
      </c>
      <c r="I133" s="100"/>
    </row>
    <row r="134" ht="18" customHeight="1" spans="1:9">
      <c r="A134" s="116"/>
      <c r="B134" s="91">
        <v>108</v>
      </c>
      <c r="C134" s="92" t="s">
        <v>167</v>
      </c>
      <c r="D134" s="93" t="s">
        <v>178</v>
      </c>
      <c r="E134" s="94" t="s">
        <v>176</v>
      </c>
      <c r="F134" s="94">
        <v>22</v>
      </c>
      <c r="G134" s="95" t="s">
        <v>21</v>
      </c>
      <c r="H134" s="96" t="s">
        <v>22</v>
      </c>
      <c r="I134" s="97"/>
    </row>
    <row r="135" ht="18" customHeight="1" spans="1:9">
      <c r="A135" s="116"/>
      <c r="B135" s="98">
        <v>109</v>
      </c>
      <c r="C135" s="92" t="s">
        <v>167</v>
      </c>
      <c r="D135" s="99" t="s">
        <v>179</v>
      </c>
      <c r="E135" s="94" t="s">
        <v>176</v>
      </c>
      <c r="F135" s="94">
        <v>22</v>
      </c>
      <c r="G135" s="95" t="s">
        <v>24</v>
      </c>
      <c r="H135" s="96" t="s">
        <v>22</v>
      </c>
      <c r="I135" s="100"/>
    </row>
    <row r="136" ht="18" customHeight="1" spans="1:9">
      <c r="A136" s="117"/>
      <c r="B136" s="91">
        <v>110</v>
      </c>
      <c r="C136" s="92" t="s">
        <v>180</v>
      </c>
      <c r="D136" s="93" t="s">
        <v>181</v>
      </c>
      <c r="E136" s="94" t="s">
        <v>176</v>
      </c>
      <c r="F136" s="94">
        <v>22</v>
      </c>
      <c r="G136" s="95" t="s">
        <v>26</v>
      </c>
      <c r="H136" s="96" t="s">
        <v>22</v>
      </c>
      <c r="I136" s="97"/>
    </row>
    <row r="137" ht="16.5" customHeight="1" spans="1:9">
      <c r="A137" s="118" t="s">
        <v>182</v>
      </c>
      <c r="B137" s="118"/>
      <c r="C137" s="118"/>
      <c r="D137" s="118"/>
      <c r="E137" s="118"/>
      <c r="F137" s="118"/>
      <c r="G137" s="118"/>
      <c r="H137" s="118"/>
      <c r="I137" s="118"/>
    </row>
    <row r="138" ht="18" customHeight="1" spans="1:9">
      <c r="A138" s="117"/>
      <c r="B138" s="91">
        <v>111</v>
      </c>
      <c r="C138" s="92" t="s">
        <v>180</v>
      </c>
      <c r="D138" s="93" t="s">
        <v>183</v>
      </c>
      <c r="E138" s="94" t="s">
        <v>184</v>
      </c>
      <c r="F138" s="94">
        <v>23</v>
      </c>
      <c r="G138" s="95" t="s">
        <v>16</v>
      </c>
      <c r="H138" s="96" t="s">
        <v>22</v>
      </c>
      <c r="I138" s="97"/>
    </row>
    <row r="139" ht="18" customHeight="1" spans="1:9">
      <c r="A139" s="117"/>
      <c r="B139" s="98">
        <v>112</v>
      </c>
      <c r="C139" s="92" t="s">
        <v>180</v>
      </c>
      <c r="D139" s="99" t="s">
        <v>185</v>
      </c>
      <c r="E139" s="94" t="s">
        <v>184</v>
      </c>
      <c r="F139" s="94">
        <v>23</v>
      </c>
      <c r="G139" s="95" t="s">
        <v>19</v>
      </c>
      <c r="H139" s="96" t="s">
        <v>22</v>
      </c>
      <c r="I139" s="100"/>
    </row>
    <row r="140" ht="18" customHeight="1" spans="1:9">
      <c r="A140" s="117"/>
      <c r="B140" s="91">
        <v>113</v>
      </c>
      <c r="C140" s="92" t="s">
        <v>180</v>
      </c>
      <c r="D140" s="93" t="s">
        <v>186</v>
      </c>
      <c r="E140" s="94" t="s">
        <v>184</v>
      </c>
      <c r="F140" s="94">
        <v>23</v>
      </c>
      <c r="G140" s="95" t="s">
        <v>21</v>
      </c>
      <c r="H140" s="96" t="s">
        <v>22</v>
      </c>
      <c r="I140" s="97"/>
    </row>
    <row r="141" ht="18" customHeight="1" spans="1:9">
      <c r="A141" s="117"/>
      <c r="B141" s="98">
        <v>114</v>
      </c>
      <c r="C141" s="92" t="s">
        <v>180</v>
      </c>
      <c r="D141" s="99" t="s">
        <v>187</v>
      </c>
      <c r="E141" s="94" t="s">
        <v>184</v>
      </c>
      <c r="F141" s="94">
        <v>23</v>
      </c>
      <c r="G141" s="95" t="s">
        <v>24</v>
      </c>
      <c r="H141" s="96" t="s">
        <v>22</v>
      </c>
      <c r="I141" s="100"/>
    </row>
    <row r="142" ht="18" customHeight="1" spans="1:9">
      <c r="A142" s="119"/>
      <c r="B142" s="91">
        <v>115</v>
      </c>
      <c r="C142" s="92" t="s">
        <v>188</v>
      </c>
      <c r="D142" s="93" t="s">
        <v>189</v>
      </c>
      <c r="E142" s="94" t="s">
        <v>184</v>
      </c>
      <c r="F142" s="94">
        <v>23</v>
      </c>
      <c r="G142" s="95" t="s">
        <v>26</v>
      </c>
      <c r="H142" s="96" t="s">
        <v>22</v>
      </c>
      <c r="I142" s="97"/>
    </row>
    <row r="143" ht="16.5" customHeight="1" spans="1:9">
      <c r="A143" s="120" t="s">
        <v>190</v>
      </c>
      <c r="B143" s="120"/>
      <c r="C143" s="120"/>
      <c r="D143" s="120"/>
      <c r="E143" s="120"/>
      <c r="F143" s="120"/>
      <c r="G143" s="120"/>
      <c r="H143" s="120"/>
      <c r="I143" s="120"/>
    </row>
    <row r="144" ht="18" customHeight="1" spans="1:9">
      <c r="A144" s="119"/>
      <c r="B144" s="91">
        <v>116</v>
      </c>
      <c r="C144" s="92" t="s">
        <v>188</v>
      </c>
      <c r="D144" s="93" t="s">
        <v>191</v>
      </c>
      <c r="E144" s="94" t="s">
        <v>192</v>
      </c>
      <c r="F144" s="94">
        <v>24</v>
      </c>
      <c r="G144" s="95" t="s">
        <v>16</v>
      </c>
      <c r="H144" s="96" t="s">
        <v>22</v>
      </c>
      <c r="I144" s="97"/>
    </row>
    <row r="145" ht="18" customHeight="1" spans="1:9">
      <c r="A145" s="119"/>
      <c r="B145" s="98">
        <v>117</v>
      </c>
      <c r="C145" s="92" t="s">
        <v>188</v>
      </c>
      <c r="D145" s="99" t="s">
        <v>193</v>
      </c>
      <c r="E145" s="94" t="s">
        <v>192</v>
      </c>
      <c r="F145" s="94">
        <v>24</v>
      </c>
      <c r="G145" s="95" t="s">
        <v>19</v>
      </c>
      <c r="H145" s="96" t="s">
        <v>22</v>
      </c>
      <c r="I145" s="100"/>
    </row>
    <row r="146" ht="18" customHeight="1" spans="1:9">
      <c r="A146" s="119"/>
      <c r="B146" s="91">
        <v>118</v>
      </c>
      <c r="C146" s="92" t="s">
        <v>188</v>
      </c>
      <c r="D146" s="93" t="s">
        <v>194</v>
      </c>
      <c r="E146" s="94" t="s">
        <v>192</v>
      </c>
      <c r="F146" s="94">
        <v>24</v>
      </c>
      <c r="G146" s="95" t="s">
        <v>21</v>
      </c>
      <c r="H146" s="96" t="s">
        <v>22</v>
      </c>
      <c r="I146" s="97"/>
    </row>
    <row r="147" ht="18" customHeight="1" spans="1:9">
      <c r="A147" s="119"/>
      <c r="B147" s="98">
        <v>119</v>
      </c>
      <c r="C147" s="92" t="s">
        <v>188</v>
      </c>
      <c r="D147" s="99" t="s">
        <v>195</v>
      </c>
      <c r="E147" s="94" t="s">
        <v>192</v>
      </c>
      <c r="F147" s="94">
        <v>24</v>
      </c>
      <c r="G147" s="95" t="s">
        <v>24</v>
      </c>
      <c r="H147" s="96" t="s">
        <v>22</v>
      </c>
      <c r="I147" s="100"/>
    </row>
    <row r="148" ht="18" customHeight="1" spans="1:9">
      <c r="A148" s="119"/>
      <c r="B148" s="91">
        <v>120</v>
      </c>
      <c r="C148" s="92" t="s">
        <v>188</v>
      </c>
      <c r="D148" s="93" t="s">
        <v>196</v>
      </c>
      <c r="E148" s="94" t="s">
        <v>192</v>
      </c>
      <c r="F148" s="94">
        <v>24</v>
      </c>
      <c r="G148" s="95" t="s">
        <v>26</v>
      </c>
      <c r="H148" s="96" t="s">
        <v>22</v>
      </c>
      <c r="I148" s="97"/>
    </row>
    <row r="149" ht="16.5" customHeight="1" spans="1:9">
      <c r="A149" s="120" t="s">
        <v>197</v>
      </c>
      <c r="B149" s="120"/>
      <c r="C149" s="120"/>
      <c r="D149" s="120"/>
      <c r="E149" s="120"/>
      <c r="F149" s="120"/>
      <c r="G149" s="120"/>
      <c r="H149" s="120"/>
      <c r="I149" s="120"/>
    </row>
    <row r="150" ht="18" customHeight="1" spans="1:9">
      <c r="A150" s="119"/>
      <c r="B150" s="91">
        <v>121</v>
      </c>
      <c r="C150" s="92" t="s">
        <v>188</v>
      </c>
      <c r="D150" s="93" t="s">
        <v>198</v>
      </c>
      <c r="E150" s="94" t="s">
        <v>199</v>
      </c>
      <c r="F150" s="94">
        <v>25</v>
      </c>
      <c r="G150" s="95" t="s">
        <v>16</v>
      </c>
      <c r="H150" s="96" t="s">
        <v>22</v>
      </c>
      <c r="I150" s="97"/>
    </row>
    <row r="151" ht="18" customHeight="1" spans="1:9">
      <c r="A151" s="119"/>
      <c r="B151" s="98">
        <v>122</v>
      </c>
      <c r="C151" s="92" t="s">
        <v>188</v>
      </c>
      <c r="D151" s="99" t="s">
        <v>200</v>
      </c>
      <c r="E151" s="94" t="s">
        <v>199</v>
      </c>
      <c r="F151" s="94">
        <v>25</v>
      </c>
      <c r="G151" s="95" t="s">
        <v>19</v>
      </c>
      <c r="H151" s="96" t="s">
        <v>22</v>
      </c>
      <c r="I151" s="100"/>
    </row>
    <row r="152" ht="18" customHeight="1" spans="1:9">
      <c r="A152" s="119"/>
      <c r="B152" s="91">
        <v>123</v>
      </c>
      <c r="C152" s="92" t="s">
        <v>188</v>
      </c>
      <c r="D152" s="93" t="s">
        <v>201</v>
      </c>
      <c r="E152" s="94" t="s">
        <v>199</v>
      </c>
      <c r="F152" s="94">
        <v>25</v>
      </c>
      <c r="G152" s="95" t="s">
        <v>21</v>
      </c>
      <c r="H152" s="96" t="s">
        <v>22</v>
      </c>
      <c r="I152" s="97"/>
    </row>
    <row r="153" ht="18" customHeight="1" spans="1:9">
      <c r="A153" s="121"/>
      <c r="B153" s="98">
        <v>124</v>
      </c>
      <c r="C153" s="92" t="s">
        <v>202</v>
      </c>
      <c r="D153" s="99" t="s">
        <v>203</v>
      </c>
      <c r="E153" s="94" t="s">
        <v>199</v>
      </c>
      <c r="F153" s="94">
        <v>25</v>
      </c>
      <c r="G153" s="95" t="s">
        <v>24</v>
      </c>
      <c r="H153" s="96" t="s">
        <v>22</v>
      </c>
      <c r="I153" s="100"/>
    </row>
    <row r="154" ht="18" customHeight="1" spans="1:9">
      <c r="A154" s="121"/>
      <c r="B154" s="91">
        <v>125</v>
      </c>
      <c r="C154" s="92" t="s">
        <v>202</v>
      </c>
      <c r="D154" s="93" t="s">
        <v>204</v>
      </c>
      <c r="E154" s="94" t="s">
        <v>199</v>
      </c>
      <c r="F154" s="94">
        <v>25</v>
      </c>
      <c r="G154" s="95" t="s">
        <v>26</v>
      </c>
      <c r="H154" s="96" t="s">
        <v>22</v>
      </c>
      <c r="I154" s="97"/>
    </row>
    <row r="155" ht="16.5" customHeight="1" spans="1:9">
      <c r="A155" s="122" t="s">
        <v>205</v>
      </c>
      <c r="B155" s="122"/>
      <c r="C155" s="122"/>
      <c r="D155" s="122"/>
      <c r="E155" s="122"/>
      <c r="F155" s="122"/>
      <c r="G155" s="122"/>
      <c r="H155" s="122"/>
      <c r="I155" s="122"/>
    </row>
    <row r="156" ht="18" customHeight="1" spans="1:9">
      <c r="A156" s="121"/>
      <c r="B156" s="91">
        <v>126</v>
      </c>
      <c r="C156" s="92" t="s">
        <v>202</v>
      </c>
      <c r="D156" s="93" t="s">
        <v>206</v>
      </c>
      <c r="E156" s="94" t="s">
        <v>207</v>
      </c>
      <c r="F156" s="94">
        <v>26</v>
      </c>
      <c r="G156" s="95" t="s">
        <v>16</v>
      </c>
      <c r="H156" s="96" t="s">
        <v>22</v>
      </c>
      <c r="I156" s="97"/>
    </row>
    <row r="157" ht="18" customHeight="1" spans="1:9">
      <c r="A157" s="121"/>
      <c r="B157" s="98">
        <v>127</v>
      </c>
      <c r="C157" s="92" t="s">
        <v>202</v>
      </c>
      <c r="D157" s="99" t="s">
        <v>208</v>
      </c>
      <c r="E157" s="94" t="s">
        <v>207</v>
      </c>
      <c r="F157" s="94">
        <v>26</v>
      </c>
      <c r="G157" s="95" t="s">
        <v>19</v>
      </c>
      <c r="H157" s="96" t="s">
        <v>22</v>
      </c>
      <c r="I157" s="100"/>
    </row>
    <row r="158" ht="18" customHeight="1" spans="1:9">
      <c r="A158" s="121"/>
      <c r="B158" s="91">
        <v>128</v>
      </c>
      <c r="C158" s="92" t="s">
        <v>202</v>
      </c>
      <c r="D158" s="93" t="s">
        <v>209</v>
      </c>
      <c r="E158" s="94" t="s">
        <v>207</v>
      </c>
      <c r="F158" s="94">
        <v>26</v>
      </c>
      <c r="G158" s="95" t="s">
        <v>21</v>
      </c>
      <c r="H158" s="96" t="s">
        <v>22</v>
      </c>
      <c r="I158" s="97"/>
    </row>
    <row r="159" ht="18" customHeight="1" spans="1:9">
      <c r="A159" s="121"/>
      <c r="B159" s="98">
        <v>129</v>
      </c>
      <c r="C159" s="92" t="s">
        <v>202</v>
      </c>
      <c r="D159" s="99" t="s">
        <v>210</v>
      </c>
      <c r="E159" s="94" t="s">
        <v>207</v>
      </c>
      <c r="F159" s="94">
        <v>26</v>
      </c>
      <c r="G159" s="95" t="s">
        <v>24</v>
      </c>
      <c r="H159" s="96" t="s">
        <v>22</v>
      </c>
      <c r="I159" s="100"/>
    </row>
    <row r="160" ht="18" customHeight="1" spans="1:9">
      <c r="A160" s="121"/>
      <c r="B160" s="91">
        <v>130</v>
      </c>
      <c r="C160" s="92" t="s">
        <v>202</v>
      </c>
      <c r="D160" s="93" t="s">
        <v>211</v>
      </c>
      <c r="E160" s="94" t="s">
        <v>207</v>
      </c>
      <c r="F160" s="94">
        <v>26</v>
      </c>
      <c r="G160" s="95" t="s">
        <v>26</v>
      </c>
      <c r="H160" s="96" t="s">
        <v>22</v>
      </c>
      <c r="I160" s="97"/>
    </row>
    <row r="161" ht="16.5" customHeight="1" spans="1:9">
      <c r="A161" s="122" t="s">
        <v>212</v>
      </c>
      <c r="B161" s="122"/>
      <c r="C161" s="122"/>
      <c r="D161" s="122"/>
      <c r="E161" s="122"/>
      <c r="F161" s="122"/>
      <c r="G161" s="122"/>
      <c r="H161" s="122"/>
      <c r="I161" s="122"/>
    </row>
    <row r="162" ht="18" customHeight="1" spans="1:9">
      <c r="A162" s="121"/>
      <c r="B162" s="91">
        <v>131</v>
      </c>
      <c r="C162" s="92" t="s">
        <v>202</v>
      </c>
      <c r="D162" s="93" t="s">
        <v>213</v>
      </c>
      <c r="E162" s="94" t="s">
        <v>214</v>
      </c>
      <c r="F162" s="94">
        <v>27</v>
      </c>
      <c r="G162" s="95" t="s">
        <v>16</v>
      </c>
      <c r="H162" s="96" t="s">
        <v>22</v>
      </c>
      <c r="I162" s="97"/>
    </row>
    <row r="163" ht="18" customHeight="1" spans="1:9">
      <c r="A163" s="121"/>
      <c r="B163" s="98">
        <v>132</v>
      </c>
      <c r="C163" s="92" t="s">
        <v>202</v>
      </c>
      <c r="D163" s="99" t="s">
        <v>215</v>
      </c>
      <c r="E163" s="94" t="s">
        <v>214</v>
      </c>
      <c r="F163" s="94">
        <v>27</v>
      </c>
      <c r="G163" s="95" t="s">
        <v>19</v>
      </c>
      <c r="H163" s="96" t="s">
        <v>22</v>
      </c>
      <c r="I163" s="100"/>
    </row>
    <row r="164" ht="18" customHeight="1" spans="1:9">
      <c r="A164" s="121"/>
      <c r="B164" s="91">
        <v>133</v>
      </c>
      <c r="C164" s="92" t="s">
        <v>202</v>
      </c>
      <c r="D164" s="93" t="s">
        <v>216</v>
      </c>
      <c r="E164" s="94" t="s">
        <v>214</v>
      </c>
      <c r="F164" s="94">
        <v>27</v>
      </c>
      <c r="G164" s="95" t="s">
        <v>21</v>
      </c>
      <c r="H164" s="96" t="s">
        <v>22</v>
      </c>
      <c r="I164" s="97"/>
    </row>
    <row r="165" ht="18" customHeight="1" spans="1:9">
      <c r="A165" s="121"/>
      <c r="B165" s="98">
        <v>134</v>
      </c>
      <c r="C165" s="92" t="s">
        <v>202</v>
      </c>
      <c r="D165" s="99" t="s">
        <v>217</v>
      </c>
      <c r="E165" s="94" t="s">
        <v>214</v>
      </c>
      <c r="F165" s="94">
        <v>27</v>
      </c>
      <c r="G165" s="95" t="s">
        <v>24</v>
      </c>
      <c r="H165" s="96" t="s">
        <v>22</v>
      </c>
      <c r="I165" s="100"/>
    </row>
    <row r="166" ht="18" customHeight="1" spans="1:9">
      <c r="A166" s="121"/>
      <c r="B166" s="91">
        <v>135</v>
      </c>
      <c r="C166" s="92" t="s">
        <v>202</v>
      </c>
      <c r="D166" s="93" t="s">
        <v>218</v>
      </c>
      <c r="E166" s="94" t="s">
        <v>214</v>
      </c>
      <c r="F166" s="94">
        <v>27</v>
      </c>
      <c r="G166" s="95" t="s">
        <v>26</v>
      </c>
      <c r="H166" s="96" t="s">
        <v>22</v>
      </c>
      <c r="I166" s="97"/>
    </row>
    <row r="167" ht="16.5" customHeight="1" spans="1:9">
      <c r="A167" s="122" t="s">
        <v>219</v>
      </c>
      <c r="B167" s="122"/>
      <c r="C167" s="122"/>
      <c r="D167" s="122"/>
      <c r="E167" s="122"/>
      <c r="F167" s="122"/>
      <c r="G167" s="122"/>
      <c r="H167" s="122"/>
      <c r="I167" s="122"/>
    </row>
    <row r="168" ht="18" customHeight="1" spans="1:9">
      <c r="A168" s="121"/>
      <c r="B168" s="91">
        <v>136</v>
      </c>
      <c r="C168" s="92" t="s">
        <v>202</v>
      </c>
      <c r="D168" s="93" t="s">
        <v>220</v>
      </c>
      <c r="E168" s="94" t="s">
        <v>221</v>
      </c>
      <c r="F168" s="94">
        <v>28</v>
      </c>
      <c r="G168" s="95" t="s">
        <v>16</v>
      </c>
      <c r="H168" s="96" t="s">
        <v>22</v>
      </c>
      <c r="I168" s="97"/>
    </row>
    <row r="169" ht="18" customHeight="1" spans="1:9">
      <c r="A169" s="121"/>
      <c r="B169" s="98">
        <v>137</v>
      </c>
      <c r="C169" s="92" t="s">
        <v>202</v>
      </c>
      <c r="D169" s="99" t="s">
        <v>222</v>
      </c>
      <c r="E169" s="94" t="s">
        <v>221</v>
      </c>
      <c r="F169" s="94">
        <v>28</v>
      </c>
      <c r="G169" s="95" t="s">
        <v>19</v>
      </c>
      <c r="H169" s="96" t="s">
        <v>22</v>
      </c>
      <c r="I169" s="100"/>
    </row>
    <row r="170" ht="18" customHeight="1" spans="1:9">
      <c r="A170" s="123"/>
      <c r="B170" s="91">
        <v>138</v>
      </c>
      <c r="C170" s="92" t="s">
        <v>223</v>
      </c>
      <c r="D170" s="93" t="s">
        <v>224</v>
      </c>
      <c r="E170" s="94" t="s">
        <v>221</v>
      </c>
      <c r="F170" s="94">
        <v>28</v>
      </c>
      <c r="G170" s="95" t="s">
        <v>21</v>
      </c>
      <c r="H170" s="96" t="s">
        <v>22</v>
      </c>
      <c r="I170" s="97"/>
    </row>
    <row r="171" ht="18" customHeight="1" spans="1:9">
      <c r="A171" s="123"/>
      <c r="B171" s="98">
        <v>139</v>
      </c>
      <c r="C171" s="92" t="s">
        <v>223</v>
      </c>
      <c r="D171" s="99" t="s">
        <v>225</v>
      </c>
      <c r="E171" s="94" t="s">
        <v>221</v>
      </c>
      <c r="F171" s="94">
        <v>28</v>
      </c>
      <c r="G171" s="95" t="s">
        <v>24</v>
      </c>
      <c r="H171" s="96" t="s">
        <v>22</v>
      </c>
      <c r="I171" s="100"/>
    </row>
    <row r="172" ht="18" customHeight="1" spans="1:9">
      <c r="A172" s="123"/>
      <c r="B172" s="91">
        <v>140</v>
      </c>
      <c r="C172" s="92" t="s">
        <v>223</v>
      </c>
      <c r="D172" s="93" t="s">
        <v>226</v>
      </c>
      <c r="E172" s="94" t="s">
        <v>221</v>
      </c>
      <c r="F172" s="94">
        <v>28</v>
      </c>
      <c r="G172" s="95" t="s">
        <v>26</v>
      </c>
      <c r="H172" s="96" t="s">
        <v>22</v>
      </c>
      <c r="I172" s="97"/>
    </row>
    <row r="173" ht="16.5" customHeight="1" spans="1:9">
      <c r="A173" s="124" t="s">
        <v>227</v>
      </c>
      <c r="B173" s="124"/>
      <c r="C173" s="124"/>
      <c r="D173" s="124"/>
      <c r="E173" s="124"/>
      <c r="F173" s="124"/>
      <c r="G173" s="124"/>
      <c r="H173" s="124"/>
      <c r="I173" s="124"/>
    </row>
    <row r="174" ht="18" customHeight="1" spans="1:9">
      <c r="A174" s="123"/>
      <c r="B174" s="91">
        <v>141</v>
      </c>
      <c r="C174" s="92" t="s">
        <v>223</v>
      </c>
      <c r="D174" s="93" t="s">
        <v>228</v>
      </c>
      <c r="E174" s="94" t="s">
        <v>229</v>
      </c>
      <c r="F174" s="94">
        <v>29</v>
      </c>
      <c r="G174" s="95" t="s">
        <v>16</v>
      </c>
      <c r="H174" s="96" t="s">
        <v>22</v>
      </c>
      <c r="I174" s="97"/>
    </row>
    <row r="175" ht="18" customHeight="1" spans="1:9">
      <c r="A175" s="123"/>
      <c r="B175" s="98">
        <v>142</v>
      </c>
      <c r="C175" s="92" t="s">
        <v>223</v>
      </c>
      <c r="D175" s="99" t="s">
        <v>230</v>
      </c>
      <c r="E175" s="94" t="s">
        <v>229</v>
      </c>
      <c r="F175" s="94">
        <v>29</v>
      </c>
      <c r="G175" s="95" t="s">
        <v>19</v>
      </c>
      <c r="H175" s="96" t="s">
        <v>22</v>
      </c>
      <c r="I175" s="100"/>
    </row>
    <row r="176" ht="18" customHeight="1" spans="1:9">
      <c r="A176" s="125"/>
      <c r="B176" s="91">
        <v>143</v>
      </c>
      <c r="C176" s="92" t="s">
        <v>231</v>
      </c>
      <c r="D176" s="93" t="s">
        <v>232</v>
      </c>
      <c r="E176" s="94" t="s">
        <v>229</v>
      </c>
      <c r="F176" s="94">
        <v>29</v>
      </c>
      <c r="G176" s="95" t="s">
        <v>21</v>
      </c>
      <c r="H176" s="96" t="s">
        <v>22</v>
      </c>
      <c r="I176" s="97"/>
    </row>
    <row r="177" ht="18" customHeight="1" spans="1:9">
      <c r="A177" s="125"/>
      <c r="B177" s="98">
        <v>144</v>
      </c>
      <c r="C177" s="92" t="s">
        <v>231</v>
      </c>
      <c r="D177" s="99" t="s">
        <v>233</v>
      </c>
      <c r="E177" s="94" t="s">
        <v>229</v>
      </c>
      <c r="F177" s="94">
        <v>29</v>
      </c>
      <c r="G177" s="95" t="s">
        <v>24</v>
      </c>
      <c r="H177" s="96" t="s">
        <v>22</v>
      </c>
      <c r="I177" s="100"/>
    </row>
    <row r="178" ht="18" customHeight="1" spans="1:9">
      <c r="A178" s="125"/>
      <c r="B178" s="91">
        <v>145</v>
      </c>
      <c r="C178" s="92" t="s">
        <v>231</v>
      </c>
      <c r="D178" s="93" t="s">
        <v>234</v>
      </c>
      <c r="E178" s="94" t="s">
        <v>229</v>
      </c>
      <c r="F178" s="94">
        <v>29</v>
      </c>
      <c r="G178" s="95" t="s">
        <v>26</v>
      </c>
      <c r="H178" s="96" t="s">
        <v>22</v>
      </c>
      <c r="I178" s="97"/>
    </row>
    <row r="179" ht="16.5" customHeight="1" spans="1:9">
      <c r="A179" s="126" t="s">
        <v>235</v>
      </c>
      <c r="B179" s="126"/>
      <c r="C179" s="126"/>
      <c r="D179" s="126"/>
      <c r="E179" s="126"/>
      <c r="F179" s="126"/>
      <c r="G179" s="126"/>
      <c r="H179" s="126"/>
      <c r="I179" s="126"/>
    </row>
    <row r="180" ht="18" customHeight="1" spans="1:9">
      <c r="A180" s="125"/>
      <c r="B180" s="91">
        <v>146</v>
      </c>
      <c r="C180" s="92" t="s">
        <v>231</v>
      </c>
      <c r="D180" s="93" t="s">
        <v>236</v>
      </c>
      <c r="E180" s="94" t="s">
        <v>237</v>
      </c>
      <c r="F180" s="94">
        <v>30</v>
      </c>
      <c r="G180" s="95" t="s">
        <v>16</v>
      </c>
      <c r="H180" s="96" t="s">
        <v>22</v>
      </c>
      <c r="I180" s="97"/>
    </row>
    <row r="181" ht="18" customHeight="1" spans="1:9">
      <c r="A181" s="125"/>
      <c r="B181" s="98">
        <v>147</v>
      </c>
      <c r="C181" s="92" t="s">
        <v>231</v>
      </c>
      <c r="D181" s="99" t="s">
        <v>238</v>
      </c>
      <c r="E181" s="94" t="s">
        <v>237</v>
      </c>
      <c r="F181" s="94">
        <v>30</v>
      </c>
      <c r="G181" s="95" t="s">
        <v>19</v>
      </c>
      <c r="H181" s="96" t="s">
        <v>22</v>
      </c>
      <c r="I181" s="100"/>
    </row>
    <row r="182" ht="18" customHeight="1" spans="1:9">
      <c r="A182" s="127"/>
      <c r="B182" s="91">
        <v>148</v>
      </c>
      <c r="C182" s="92" t="s">
        <v>239</v>
      </c>
      <c r="D182" s="93" t="s">
        <v>240</v>
      </c>
      <c r="E182" s="94" t="s">
        <v>237</v>
      </c>
      <c r="F182" s="94">
        <v>30</v>
      </c>
      <c r="G182" s="95" t="s">
        <v>21</v>
      </c>
      <c r="H182" s="96" t="s">
        <v>22</v>
      </c>
      <c r="I182" s="97"/>
    </row>
    <row r="183" ht="18" customHeight="1" spans="1:9">
      <c r="A183" s="127"/>
      <c r="B183" s="98">
        <v>149</v>
      </c>
      <c r="C183" s="92" t="s">
        <v>239</v>
      </c>
      <c r="D183" s="99" t="s">
        <v>241</v>
      </c>
      <c r="E183" s="94" t="s">
        <v>237</v>
      </c>
      <c r="F183" s="94">
        <v>30</v>
      </c>
      <c r="G183" s="95" t="s">
        <v>24</v>
      </c>
      <c r="H183" s="96" t="s">
        <v>22</v>
      </c>
      <c r="I183" s="100"/>
    </row>
    <row r="184" ht="18" customHeight="1" spans="1:9">
      <c r="A184" s="127"/>
      <c r="B184" s="91">
        <v>150</v>
      </c>
      <c r="C184" s="92" t="s">
        <v>239</v>
      </c>
      <c r="D184" s="93" t="s">
        <v>242</v>
      </c>
      <c r="E184" s="94" t="s">
        <v>237</v>
      </c>
      <c r="F184" s="94">
        <v>30</v>
      </c>
      <c r="G184" s="95" t="s">
        <v>26</v>
      </c>
      <c r="H184" s="96" t="s">
        <v>22</v>
      </c>
      <c r="I184" s="97"/>
    </row>
    <row r="185" ht="16.5" customHeight="1" spans="1:9">
      <c r="A185" s="128" t="s">
        <v>243</v>
      </c>
      <c r="B185" s="128"/>
      <c r="C185" s="128"/>
      <c r="D185" s="128"/>
      <c r="E185" s="128"/>
      <c r="F185" s="128"/>
      <c r="G185" s="128"/>
      <c r="H185" s="128"/>
      <c r="I185" s="128"/>
    </row>
    <row r="186" ht="18" customHeight="1" spans="1:9">
      <c r="A186" s="127"/>
      <c r="B186" s="91">
        <v>151</v>
      </c>
      <c r="C186" s="92" t="s">
        <v>239</v>
      </c>
      <c r="D186" s="93" t="s">
        <v>244</v>
      </c>
      <c r="E186" s="94" t="s">
        <v>245</v>
      </c>
      <c r="F186" s="94">
        <v>31</v>
      </c>
      <c r="G186" s="95" t="s">
        <v>16</v>
      </c>
      <c r="H186" s="96" t="s">
        <v>22</v>
      </c>
      <c r="I186" s="97"/>
    </row>
    <row r="187" ht="18" customHeight="1" spans="1:9">
      <c r="A187" s="127"/>
      <c r="B187" s="98">
        <v>152</v>
      </c>
      <c r="C187" s="92" t="s">
        <v>239</v>
      </c>
      <c r="D187" s="99" t="s">
        <v>246</v>
      </c>
      <c r="E187" s="94" t="s">
        <v>245</v>
      </c>
      <c r="F187" s="94">
        <v>31</v>
      </c>
      <c r="G187" s="95" t="s">
        <v>19</v>
      </c>
      <c r="H187" s="96" t="s">
        <v>22</v>
      </c>
      <c r="I187" s="100"/>
    </row>
    <row r="188" ht="18" customHeight="1" spans="1:9">
      <c r="A188" s="127"/>
      <c r="B188" s="91">
        <v>153</v>
      </c>
      <c r="C188" s="92" t="s">
        <v>239</v>
      </c>
      <c r="D188" s="93" t="s">
        <v>247</v>
      </c>
      <c r="E188" s="94" t="s">
        <v>245</v>
      </c>
      <c r="F188" s="94">
        <v>31</v>
      </c>
      <c r="G188" s="95" t="s">
        <v>21</v>
      </c>
      <c r="H188" s="96" t="s">
        <v>22</v>
      </c>
      <c r="I188" s="97"/>
    </row>
    <row r="189" ht="18" customHeight="1" spans="1:9">
      <c r="A189" s="90"/>
      <c r="B189" s="98">
        <v>154</v>
      </c>
      <c r="C189" s="92" t="s">
        <v>248</v>
      </c>
      <c r="D189" s="99" t="s">
        <v>249</v>
      </c>
      <c r="E189" s="94" t="s">
        <v>245</v>
      </c>
      <c r="F189" s="94">
        <v>31</v>
      </c>
      <c r="G189" s="95" t="s">
        <v>24</v>
      </c>
      <c r="H189" s="96" t="s">
        <v>22</v>
      </c>
      <c r="I189" s="100"/>
    </row>
    <row r="190" ht="18" customHeight="1" spans="1:9">
      <c r="A190" s="90"/>
      <c r="B190" s="91">
        <v>155</v>
      </c>
      <c r="C190" s="92" t="s">
        <v>248</v>
      </c>
      <c r="D190" s="93" t="s">
        <v>250</v>
      </c>
      <c r="E190" s="94" t="s">
        <v>245</v>
      </c>
      <c r="F190" s="94">
        <v>31</v>
      </c>
      <c r="G190" s="95" t="s">
        <v>26</v>
      </c>
      <c r="H190" s="96" t="s">
        <v>22</v>
      </c>
      <c r="I190" s="97"/>
    </row>
    <row r="191" ht="16.5" customHeight="1" spans="1:9">
      <c r="A191" s="89" t="s">
        <v>251</v>
      </c>
      <c r="B191" s="89"/>
      <c r="C191" s="89"/>
      <c r="D191" s="89"/>
      <c r="E191" s="89"/>
      <c r="F191" s="89"/>
      <c r="G191" s="89"/>
      <c r="H191" s="89"/>
      <c r="I191" s="89"/>
    </row>
    <row r="192" ht="18" customHeight="1" spans="1:9">
      <c r="A192" s="90"/>
      <c r="B192" s="91">
        <v>156</v>
      </c>
      <c r="C192" s="92" t="s">
        <v>248</v>
      </c>
      <c r="D192" s="93" t="s">
        <v>252</v>
      </c>
      <c r="E192" s="94" t="s">
        <v>253</v>
      </c>
      <c r="F192" s="94">
        <v>32</v>
      </c>
      <c r="G192" s="95" t="s">
        <v>16</v>
      </c>
      <c r="H192" s="96" t="s">
        <v>22</v>
      </c>
      <c r="I192" s="97"/>
    </row>
    <row r="193" ht="18" customHeight="1" spans="1:9">
      <c r="A193" s="90"/>
      <c r="B193" s="98">
        <v>157</v>
      </c>
      <c r="C193" s="92" t="s">
        <v>248</v>
      </c>
      <c r="D193" s="99" t="s">
        <v>254</v>
      </c>
      <c r="E193" s="94" t="s">
        <v>253</v>
      </c>
      <c r="F193" s="94">
        <v>32</v>
      </c>
      <c r="G193" s="95" t="s">
        <v>19</v>
      </c>
      <c r="H193" s="96" t="s">
        <v>22</v>
      </c>
      <c r="I193" s="100"/>
    </row>
    <row r="194" ht="18" customHeight="1" spans="1:9">
      <c r="A194" s="90"/>
      <c r="B194" s="91">
        <v>158</v>
      </c>
      <c r="C194" s="92" t="s">
        <v>248</v>
      </c>
      <c r="D194" s="93" t="s">
        <v>255</v>
      </c>
      <c r="E194" s="94" t="s">
        <v>253</v>
      </c>
      <c r="F194" s="94">
        <v>32</v>
      </c>
      <c r="G194" s="95" t="s">
        <v>21</v>
      </c>
      <c r="H194" s="96" t="s">
        <v>22</v>
      </c>
      <c r="I194" s="97"/>
    </row>
    <row r="195" ht="18" customHeight="1" spans="1:9">
      <c r="A195" s="90"/>
      <c r="B195" s="98">
        <v>159</v>
      </c>
      <c r="C195" s="92" t="s">
        <v>248</v>
      </c>
      <c r="D195" s="99" t="s">
        <v>256</v>
      </c>
      <c r="E195" s="94" t="s">
        <v>253</v>
      </c>
      <c r="F195" s="94">
        <v>32</v>
      </c>
      <c r="G195" s="95" t="s">
        <v>24</v>
      </c>
      <c r="H195" s="96" t="s">
        <v>22</v>
      </c>
      <c r="I195" s="100"/>
    </row>
    <row r="196" ht="18" customHeight="1" spans="1:9">
      <c r="A196" s="90"/>
      <c r="B196" s="91">
        <v>160</v>
      </c>
      <c r="C196" s="92" t="s">
        <v>248</v>
      </c>
      <c r="D196" s="93" t="s">
        <v>257</v>
      </c>
      <c r="E196" s="94" t="s">
        <v>253</v>
      </c>
      <c r="F196" s="94">
        <v>32</v>
      </c>
      <c r="G196" s="95" t="s">
        <v>26</v>
      </c>
      <c r="H196" s="96" t="s">
        <v>22</v>
      </c>
      <c r="I196" s="97"/>
    </row>
    <row r="197" ht="16.5" customHeight="1" spans="1:9">
      <c r="A197" s="89" t="s">
        <v>258</v>
      </c>
      <c r="B197" s="89"/>
      <c r="C197" s="89"/>
      <c r="D197" s="89"/>
      <c r="E197" s="89"/>
      <c r="F197" s="89"/>
      <c r="G197" s="89"/>
      <c r="H197" s="89"/>
      <c r="I197" s="89"/>
    </row>
    <row r="198" ht="18" customHeight="1" spans="1:9">
      <c r="A198" s="90"/>
      <c r="B198" s="91">
        <v>161</v>
      </c>
      <c r="C198" s="92" t="s">
        <v>248</v>
      </c>
      <c r="D198" s="93" t="s">
        <v>259</v>
      </c>
      <c r="E198" s="94" t="s">
        <v>260</v>
      </c>
      <c r="F198" s="94">
        <v>33</v>
      </c>
      <c r="G198" s="95" t="s">
        <v>16</v>
      </c>
      <c r="H198" s="96" t="s">
        <v>22</v>
      </c>
      <c r="I198" s="97"/>
    </row>
    <row r="199" ht="18" customHeight="1" spans="1:9">
      <c r="A199" s="90"/>
      <c r="B199" s="98">
        <v>162</v>
      </c>
      <c r="C199" s="92" t="s">
        <v>248</v>
      </c>
      <c r="D199" s="99" t="s">
        <v>261</v>
      </c>
      <c r="E199" s="94" t="s">
        <v>260</v>
      </c>
      <c r="F199" s="94">
        <v>33</v>
      </c>
      <c r="G199" s="95" t="s">
        <v>19</v>
      </c>
      <c r="H199" s="96" t="s">
        <v>22</v>
      </c>
      <c r="I199" s="100"/>
    </row>
    <row r="200" ht="18" customHeight="1" spans="1:9">
      <c r="A200" s="90"/>
      <c r="B200" s="91">
        <v>163</v>
      </c>
      <c r="C200" s="92" t="s">
        <v>248</v>
      </c>
      <c r="D200" s="93" t="s">
        <v>262</v>
      </c>
      <c r="E200" s="94" t="s">
        <v>260</v>
      </c>
      <c r="F200" s="94">
        <v>33</v>
      </c>
      <c r="G200" s="95" t="s">
        <v>21</v>
      </c>
      <c r="H200" s="96" t="s">
        <v>22</v>
      </c>
      <c r="I200" s="97"/>
    </row>
    <row r="201" ht="18" customHeight="1" spans="1:9">
      <c r="A201" s="101"/>
      <c r="B201" s="98">
        <v>164</v>
      </c>
      <c r="C201" s="92" t="s">
        <v>263</v>
      </c>
      <c r="D201" s="99" t="s">
        <v>264</v>
      </c>
      <c r="E201" s="94" t="s">
        <v>260</v>
      </c>
      <c r="F201" s="94">
        <v>33</v>
      </c>
      <c r="G201" s="95" t="s">
        <v>24</v>
      </c>
      <c r="H201" s="96" t="s">
        <v>22</v>
      </c>
      <c r="I201" s="100"/>
    </row>
    <row r="202" ht="18" customHeight="1" spans="1:9">
      <c r="A202" s="101"/>
      <c r="B202" s="91">
        <v>165</v>
      </c>
      <c r="C202" s="92" t="s">
        <v>263</v>
      </c>
      <c r="D202" s="93" t="s">
        <v>265</v>
      </c>
      <c r="E202" s="94" t="s">
        <v>260</v>
      </c>
      <c r="F202" s="94">
        <v>33</v>
      </c>
      <c r="G202" s="95" t="s">
        <v>26</v>
      </c>
      <c r="H202" s="96" t="s">
        <v>22</v>
      </c>
      <c r="I202" s="97"/>
    </row>
    <row r="203" ht="16.5" customHeight="1" spans="1:9">
      <c r="A203" s="102" t="s">
        <v>266</v>
      </c>
      <c r="B203" s="102"/>
      <c r="C203" s="102"/>
      <c r="D203" s="102"/>
      <c r="E203" s="102"/>
      <c r="F203" s="102"/>
      <c r="G203" s="102"/>
      <c r="H203" s="102"/>
      <c r="I203" s="102"/>
    </row>
    <row r="204" ht="18" customHeight="1" spans="1:9">
      <c r="A204" s="101"/>
      <c r="B204" s="91">
        <v>166</v>
      </c>
      <c r="C204" s="92" t="s">
        <v>263</v>
      </c>
      <c r="D204" s="93" t="s">
        <v>267</v>
      </c>
      <c r="E204" s="94" t="s">
        <v>268</v>
      </c>
      <c r="F204" s="94">
        <v>34</v>
      </c>
      <c r="G204" s="95" t="s">
        <v>16</v>
      </c>
      <c r="H204" s="96" t="s">
        <v>22</v>
      </c>
      <c r="I204" s="97"/>
    </row>
    <row r="205" ht="18" customHeight="1" spans="1:9">
      <c r="A205" s="101"/>
      <c r="B205" s="98">
        <v>167</v>
      </c>
      <c r="C205" s="92" t="s">
        <v>263</v>
      </c>
      <c r="D205" s="99" t="s">
        <v>269</v>
      </c>
      <c r="E205" s="94" t="s">
        <v>268</v>
      </c>
      <c r="F205" s="94">
        <v>34</v>
      </c>
      <c r="G205" s="95" t="s">
        <v>19</v>
      </c>
      <c r="H205" s="96" t="s">
        <v>22</v>
      </c>
      <c r="I205" s="100"/>
    </row>
    <row r="206" ht="18" customHeight="1" spans="1:9">
      <c r="A206" s="101"/>
      <c r="B206" s="91">
        <v>168</v>
      </c>
      <c r="C206" s="92" t="s">
        <v>263</v>
      </c>
      <c r="D206" s="93" t="s">
        <v>270</v>
      </c>
      <c r="E206" s="94" t="s">
        <v>268</v>
      </c>
      <c r="F206" s="94">
        <v>34</v>
      </c>
      <c r="G206" s="95" t="s">
        <v>21</v>
      </c>
      <c r="H206" s="96" t="s">
        <v>22</v>
      </c>
      <c r="I206" s="97"/>
    </row>
    <row r="207" ht="18" customHeight="1" spans="1:9">
      <c r="A207" s="101"/>
      <c r="B207" s="98">
        <v>169</v>
      </c>
      <c r="C207" s="92" t="s">
        <v>263</v>
      </c>
      <c r="D207" s="99" t="s">
        <v>271</v>
      </c>
      <c r="E207" s="94" t="s">
        <v>268</v>
      </c>
      <c r="F207" s="94">
        <v>34</v>
      </c>
      <c r="G207" s="95" t="s">
        <v>24</v>
      </c>
      <c r="H207" s="96" t="s">
        <v>22</v>
      </c>
      <c r="I207" s="100"/>
    </row>
    <row r="208" ht="18" customHeight="1" spans="1:9">
      <c r="A208" s="101"/>
      <c r="B208" s="91">
        <v>170</v>
      </c>
      <c r="C208" s="92" t="s">
        <v>263</v>
      </c>
      <c r="D208" s="93" t="s">
        <v>272</v>
      </c>
      <c r="E208" s="94" t="s">
        <v>268</v>
      </c>
      <c r="F208" s="94">
        <v>34</v>
      </c>
      <c r="G208" s="95" t="s">
        <v>26</v>
      </c>
      <c r="H208" s="96" t="s">
        <v>22</v>
      </c>
      <c r="I208" s="97"/>
    </row>
    <row r="209" ht="16.5" customHeight="1" spans="1:9">
      <c r="A209" s="104" t="s">
        <v>273</v>
      </c>
      <c r="B209" s="104"/>
      <c r="C209" s="104"/>
      <c r="D209" s="104"/>
      <c r="E209" s="104"/>
      <c r="F209" s="104"/>
      <c r="G209" s="104"/>
      <c r="H209" s="104"/>
      <c r="I209" s="104"/>
    </row>
    <row r="210" ht="18" customHeight="1" spans="1:9">
      <c r="A210" s="103"/>
      <c r="B210" s="91">
        <v>171</v>
      </c>
      <c r="C210" s="92" t="s">
        <v>274</v>
      </c>
      <c r="D210" s="93" t="s">
        <v>275</v>
      </c>
      <c r="E210" s="94" t="s">
        <v>276</v>
      </c>
      <c r="F210" s="94">
        <v>35</v>
      </c>
      <c r="G210" s="95" t="s">
        <v>16</v>
      </c>
      <c r="H210" s="96" t="s">
        <v>22</v>
      </c>
      <c r="I210" s="97"/>
    </row>
    <row r="211" ht="18" customHeight="1" spans="1:9">
      <c r="A211" s="103"/>
      <c r="B211" s="98">
        <v>172</v>
      </c>
      <c r="C211" s="92" t="s">
        <v>274</v>
      </c>
      <c r="D211" s="99" t="s">
        <v>277</v>
      </c>
      <c r="E211" s="94" t="s">
        <v>276</v>
      </c>
      <c r="F211" s="94">
        <v>35</v>
      </c>
      <c r="G211" s="95" t="s">
        <v>19</v>
      </c>
      <c r="H211" s="96" t="s">
        <v>22</v>
      </c>
      <c r="I211" s="100"/>
    </row>
    <row r="212" ht="18" customHeight="1" spans="1:9">
      <c r="A212" s="103"/>
      <c r="B212" s="91">
        <v>173</v>
      </c>
      <c r="C212" s="92" t="s">
        <v>274</v>
      </c>
      <c r="D212" s="93" t="s">
        <v>278</v>
      </c>
      <c r="E212" s="94" t="s">
        <v>276</v>
      </c>
      <c r="F212" s="94">
        <v>35</v>
      </c>
      <c r="G212" s="95" t="s">
        <v>21</v>
      </c>
      <c r="H212" s="96" t="s">
        <v>22</v>
      </c>
      <c r="I212" s="97"/>
    </row>
    <row r="213" ht="18" customHeight="1" spans="1:9">
      <c r="A213" s="103"/>
      <c r="B213" s="98">
        <v>174</v>
      </c>
      <c r="C213" s="92" t="s">
        <v>274</v>
      </c>
      <c r="D213" s="99" t="s">
        <v>279</v>
      </c>
      <c r="E213" s="94" t="s">
        <v>276</v>
      </c>
      <c r="F213" s="94">
        <v>35</v>
      </c>
      <c r="G213" s="95" t="s">
        <v>24</v>
      </c>
      <c r="H213" s="96" t="s">
        <v>22</v>
      </c>
      <c r="I213" s="100"/>
    </row>
    <row r="214" ht="18" customHeight="1" spans="1:9">
      <c r="A214" s="103"/>
      <c r="B214" s="91">
        <v>175</v>
      </c>
      <c r="C214" s="92" t="s">
        <v>274</v>
      </c>
      <c r="D214" s="93" t="s">
        <v>280</v>
      </c>
      <c r="E214" s="94" t="s">
        <v>276</v>
      </c>
      <c r="F214" s="94">
        <v>35</v>
      </c>
      <c r="G214" s="95" t="s">
        <v>26</v>
      </c>
      <c r="H214" s="96" t="s">
        <v>22</v>
      </c>
      <c r="I214" s="97"/>
    </row>
    <row r="215" ht="16.5" customHeight="1" spans="1:9">
      <c r="A215" s="104" t="s">
        <v>281</v>
      </c>
      <c r="B215" s="104"/>
      <c r="C215" s="104"/>
      <c r="D215" s="104"/>
      <c r="E215" s="104"/>
      <c r="F215" s="104"/>
      <c r="G215" s="104"/>
      <c r="H215" s="104"/>
      <c r="I215" s="104"/>
    </row>
    <row r="216" ht="18" customHeight="1" spans="1:9">
      <c r="A216" s="103"/>
      <c r="B216" s="91">
        <v>176</v>
      </c>
      <c r="C216" s="92" t="s">
        <v>274</v>
      </c>
      <c r="D216" s="93" t="s">
        <v>282</v>
      </c>
      <c r="E216" s="94" t="s">
        <v>283</v>
      </c>
      <c r="F216" s="94">
        <v>36</v>
      </c>
      <c r="G216" s="95" t="s">
        <v>16</v>
      </c>
      <c r="H216" s="96" t="s">
        <v>22</v>
      </c>
      <c r="I216" s="97"/>
    </row>
  </sheetData>
  <mergeCells count="40">
    <mergeCell ref="A1:I1"/>
    <mergeCell ref="A2:E2"/>
    <mergeCell ref="F2:I2"/>
    <mergeCell ref="A3:I3"/>
    <mergeCell ref="A5:I5"/>
    <mergeCell ref="A11:I11"/>
    <mergeCell ref="A17:I17"/>
    <mergeCell ref="A23:I23"/>
    <mergeCell ref="A29:I29"/>
    <mergeCell ref="A35:I35"/>
    <mergeCell ref="A41:I41"/>
    <mergeCell ref="A47:I47"/>
    <mergeCell ref="A53:I53"/>
    <mergeCell ref="A59:I59"/>
    <mergeCell ref="A65:I65"/>
    <mergeCell ref="A71:I71"/>
    <mergeCell ref="A77:I77"/>
    <mergeCell ref="A83:I83"/>
    <mergeCell ref="A89:I89"/>
    <mergeCell ref="A95:I95"/>
    <mergeCell ref="A101:I101"/>
    <mergeCell ref="A107:I107"/>
    <mergeCell ref="A113:I113"/>
    <mergeCell ref="A119:I119"/>
    <mergeCell ref="A125:I125"/>
    <mergeCell ref="A131:I131"/>
    <mergeCell ref="A137:I137"/>
    <mergeCell ref="A143:I143"/>
    <mergeCell ref="A149:I149"/>
    <mergeCell ref="A155:I155"/>
    <mergeCell ref="A161:I161"/>
    <mergeCell ref="A167:I167"/>
    <mergeCell ref="A173:I173"/>
    <mergeCell ref="A179:I179"/>
    <mergeCell ref="A185:I185"/>
    <mergeCell ref="A191:I191"/>
    <mergeCell ref="A197:I197"/>
    <mergeCell ref="A203:I203"/>
    <mergeCell ref="A209:I209"/>
    <mergeCell ref="A215:I215"/>
  </mergeCells>
  <dataValidations count="1">
    <dataValidation type="list" allowBlank="1" showErrorMessage="1" errorTitle="Invalid" error="Use dropdown options only" sqref="H5:H217">
      <formula1>"✅ Done,🔄 In Progress,⏸ Paused,❌ Skipped,⬜ Not Started"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showGridLines="0" workbookViewId="0">
      <pane xSplit="2" ySplit="12" topLeftCell="C13" activePane="bottomRight" state="frozen"/>
      <selection/>
      <selection pane="topRight"/>
      <selection pane="bottomLeft"/>
      <selection pane="bottomRight" activeCell="P19" sqref="P19"/>
    </sheetView>
  </sheetViews>
  <sheetFormatPr defaultColWidth="8.67826086956522" defaultRowHeight="14.4"/>
  <cols>
    <col min="1" max="2" width="2" customWidth="1"/>
    <col min="3" max="3" width="20" customWidth="1"/>
    <col min="4" max="9" width="14" customWidth="1"/>
    <col min="10" max="10" width="2" customWidth="1"/>
  </cols>
  <sheetData>
    <row r="1" ht="25.9" spans="1:10">
      <c r="A1" s="42" t="s">
        <v>284</v>
      </c>
      <c r="B1" s="42"/>
      <c r="C1" s="42"/>
      <c r="D1" s="42"/>
      <c r="E1" s="42"/>
      <c r="F1" s="42"/>
      <c r="G1" s="42"/>
      <c r="H1" s="42"/>
      <c r="I1" s="42"/>
      <c r="J1" s="42"/>
    </row>
    <row r="4" spans="1:10">
      <c r="C4" s="43" t="s">
        <v>285</v>
      </c>
      <c r="D4" s="43"/>
      <c r="E4" s="44" t="s">
        <v>286</v>
      </c>
      <c r="F4" s="44"/>
      <c r="G4" s="45" t="s">
        <v>287</v>
      </c>
      <c r="H4" s="45"/>
      <c r="I4" s="46" t="s">
        <v>288</v>
      </c>
      <c r="J4" s="46"/>
    </row>
    <row r="5" spans="1:10">
      <c r="C5" s="43"/>
      <c r="D5" s="43"/>
      <c r="E5" s="44"/>
      <c r="F5" s="44"/>
      <c r="G5" s="45"/>
      <c r="H5" s="45"/>
      <c r="I5" s="46"/>
      <c r="J5" s="46"/>
    </row>
    <row r="6" ht="32.8" spans="1:10">
      <c r="C6" s="47" t="s">
        <v>289</v>
      </c>
      <c r="D6" s="47"/>
      <c r="E6" s="48">
        <f>COUNTIF('📚 Study Plan'!H:H,"✅ Done")</f>
        <v>2</v>
      </c>
      <c r="F6" s="48"/>
      <c r="G6" s="49">
        <f>COUNTIF('📚 Study Plan'!H:H,"🔄 In Progress")</f>
        <v>0</v>
      </c>
      <c r="H6" s="49"/>
      <c r="I6" s="50">
        <f>COUNTIF('📚 Study Plan'!H:H,"⬜ Not Started")</f>
        <v>174</v>
      </c>
      <c r="J6" s="50"/>
    </row>
    <row r="8" spans="1:10">
      <c r="C8" s="51" t="s">
        <v>290</v>
      </c>
      <c r="D8" s="51"/>
      <c r="E8" s="51"/>
      <c r="F8" s="51"/>
      <c r="G8" s="51"/>
      <c r="H8" s="51"/>
      <c r="I8" s="51"/>
      <c r="J8" s="51"/>
    </row>
    <row r="9" ht="35.1" spans="1:10">
      <c r="C9" s="52">
        <f>COUNTIF('📚 Study Plan'!H:H,"✅ Done")/176</f>
        <v>0.0113636363636364</v>
      </c>
      <c r="D9" s="52"/>
      <c r="E9" s="52"/>
      <c r="F9" s="52"/>
      <c r="G9" s="52"/>
      <c r="H9" s="52"/>
      <c r="I9" s="52"/>
      <c r="J9" s="52"/>
    </row>
    <row r="11" spans="1:10">
      <c r="C11" s="51" t="s">
        <v>291</v>
      </c>
      <c r="D11" s="51"/>
      <c r="E11" s="51"/>
      <c r="F11" s="51"/>
      <c r="G11" s="51"/>
      <c r="H11" s="51"/>
      <c r="I11" s="51"/>
      <c r="J11" s="51"/>
    </row>
    <row r="12" spans="1:10">
      <c r="C12" s="53" t="s">
        <v>5</v>
      </c>
      <c r="D12" s="53" t="s">
        <v>292</v>
      </c>
      <c r="E12" s="53" t="s">
        <v>293</v>
      </c>
      <c r="F12" s="53" t="s">
        <v>294</v>
      </c>
      <c r="G12" s="53" t="s">
        <v>295</v>
      </c>
      <c r="H12" s="53" t="s">
        <v>296</v>
      </c>
      <c r="I12" s="53" t="s">
        <v>297</v>
      </c>
      <c r="J12" s="53"/>
    </row>
    <row r="13" ht="24.2" spans="1:10">
      <c r="C13" s="54" t="s">
        <v>13</v>
      </c>
      <c r="D13" s="5">
        <v>19</v>
      </c>
      <c r="E13" s="55">
        <f>COUNTIFS('📚 Study Plan'!C:C,C13,'📚 Study Plan'!H:H,"✅ Done")</f>
        <v>2</v>
      </c>
      <c r="F13" s="56">
        <f>COUNTIFS('📚 Study Plan'!C:C,C13,'📚 Study Plan'!H:H,"🔄 In Progress")</f>
        <v>0</v>
      </c>
      <c r="G13" s="57">
        <f>COUNTIFS('📚 Study Plan'!C:C,C13,'📚 Study Plan'!H:H,"⏸ Paused")</f>
        <v>0</v>
      </c>
      <c r="H13" s="58">
        <f>COUNTIFS('📚 Study Plan'!C:C,C13,'📚 Study Plan'!H:H,"❌ Skipped")</f>
        <v>0</v>
      </c>
      <c r="I13" s="59">
        <f t="shared" ref="I13:I30" si="0">D13-E13-F13-G13-H13</f>
        <v>17</v>
      </c>
      <c r="J13" s="59"/>
    </row>
    <row r="14" ht="24.2" spans="1:10">
      <c r="C14" s="60" t="s">
        <v>47</v>
      </c>
      <c r="D14" s="9">
        <v>7</v>
      </c>
      <c r="E14" s="61">
        <f>COUNTIFS('📚 Study Plan'!C:C,C14,'📚 Study Plan'!H:H,"✅ Done")</f>
        <v>0</v>
      </c>
      <c r="F14" s="62">
        <f>COUNTIFS('📚 Study Plan'!C:C,C14,'📚 Study Plan'!H:H,"🔄 In Progress")</f>
        <v>0</v>
      </c>
      <c r="G14" s="63">
        <f>COUNTIFS('📚 Study Plan'!C:C,C14,'📚 Study Plan'!H:H,"⏸ Paused")</f>
        <v>0</v>
      </c>
      <c r="H14" s="64">
        <f>COUNTIFS('📚 Study Plan'!C:C,C14,'📚 Study Plan'!H:H,"❌ Skipped")</f>
        <v>0</v>
      </c>
      <c r="I14" s="65">
        <f t="shared" si="0"/>
        <v>7</v>
      </c>
      <c r="J14" s="65"/>
    </row>
    <row r="15" ht="36.3" spans="1:10">
      <c r="C15" s="66" t="s">
        <v>59</v>
      </c>
      <c r="D15" s="5">
        <v>19</v>
      </c>
      <c r="E15" s="55">
        <f>COUNTIFS('📚 Study Plan'!C:C,C15,'📚 Study Plan'!H:H,"✅ Done")</f>
        <v>0</v>
      </c>
      <c r="F15" s="56">
        <f>COUNTIFS('📚 Study Plan'!C:C,C15,'📚 Study Plan'!H:H,"🔄 In Progress")</f>
        <v>0</v>
      </c>
      <c r="G15" s="57">
        <f>COUNTIFS('📚 Study Plan'!C:C,C15,'📚 Study Plan'!H:H,"⏸ Paused")</f>
        <v>0</v>
      </c>
      <c r="H15" s="58">
        <f>COUNTIFS('📚 Study Plan'!C:C,C15,'📚 Study Plan'!H:H,"❌ Skipped")</f>
        <v>0</v>
      </c>
      <c r="I15" s="59">
        <f t="shared" si="0"/>
        <v>19</v>
      </c>
      <c r="J15" s="59"/>
    </row>
    <row r="16" ht="24.2" spans="1:10">
      <c r="C16" s="67" t="s">
        <v>86</v>
      </c>
      <c r="D16" s="9">
        <v>12</v>
      </c>
      <c r="E16" s="61">
        <f>COUNTIFS('📚 Study Plan'!C:C,C16,'📚 Study Plan'!H:H,"✅ Done")</f>
        <v>0</v>
      </c>
      <c r="F16" s="62">
        <f>COUNTIFS('📚 Study Plan'!C:C,C16,'📚 Study Plan'!H:H,"🔄 In Progress")</f>
        <v>0</v>
      </c>
      <c r="G16" s="63">
        <f>COUNTIFS('📚 Study Plan'!C:C,C16,'📚 Study Plan'!H:H,"⏸ Paused")</f>
        <v>0</v>
      </c>
      <c r="H16" s="64">
        <f>COUNTIFS('📚 Study Plan'!C:C,C16,'📚 Study Plan'!H:H,"❌ Skipped")</f>
        <v>0</v>
      </c>
      <c r="I16" s="65">
        <f t="shared" si="0"/>
        <v>12</v>
      </c>
      <c r="J16" s="65"/>
    </row>
    <row r="17" ht="24.2" spans="3:10">
      <c r="C17" s="68" t="s">
        <v>104</v>
      </c>
      <c r="D17" s="5">
        <v>17</v>
      </c>
      <c r="E17" s="55">
        <f>COUNTIFS('📚 Study Plan'!C:C,C17,'📚 Study Plan'!H:H,"✅ Done")</f>
        <v>0</v>
      </c>
      <c r="F17" s="56">
        <f>COUNTIFS('📚 Study Plan'!C:C,C17,'📚 Study Plan'!H:H,"🔄 In Progress")</f>
        <v>0</v>
      </c>
      <c r="G17" s="57">
        <f>COUNTIFS('📚 Study Plan'!C:C,C17,'📚 Study Plan'!H:H,"⏸ Paused")</f>
        <v>0</v>
      </c>
      <c r="H17" s="58">
        <f>COUNTIFS('📚 Study Plan'!C:C,C17,'📚 Study Plan'!H:H,"❌ Skipped")</f>
        <v>0</v>
      </c>
      <c r="I17" s="59">
        <f t="shared" si="0"/>
        <v>17</v>
      </c>
      <c r="J17" s="59"/>
    </row>
    <row r="18" ht="24.2" spans="3:10">
      <c r="C18" s="69" t="s">
        <v>128</v>
      </c>
      <c r="D18" s="9">
        <v>11</v>
      </c>
      <c r="E18" s="61">
        <f>COUNTIFS('📚 Study Plan'!C:C,C18,'📚 Study Plan'!H:H,"✅ Done")</f>
        <v>0</v>
      </c>
      <c r="F18" s="62">
        <f>COUNTIFS('📚 Study Plan'!C:C,C18,'📚 Study Plan'!H:H,"🔄 In Progress")</f>
        <v>0</v>
      </c>
      <c r="G18" s="63">
        <f>COUNTIFS('📚 Study Plan'!C:C,C18,'📚 Study Plan'!H:H,"⏸ Paused")</f>
        <v>0</v>
      </c>
      <c r="H18" s="64">
        <f>COUNTIFS('📚 Study Plan'!C:C,C18,'📚 Study Plan'!H:H,"❌ Skipped")</f>
        <v>0</v>
      </c>
      <c r="I18" s="65">
        <f t="shared" si="0"/>
        <v>11</v>
      </c>
      <c r="J18" s="65"/>
    </row>
    <row r="19" ht="24.2" spans="3:10">
      <c r="C19" s="70" t="s">
        <v>145</v>
      </c>
      <c r="D19" s="5">
        <v>8</v>
      </c>
      <c r="E19" s="55">
        <f>COUNTIFS('📚 Study Plan'!C:C,C19,'📚 Study Plan'!H:H,"✅ Done")</f>
        <v>0</v>
      </c>
      <c r="F19" s="56">
        <f>COUNTIFS('📚 Study Plan'!C:C,C19,'📚 Study Plan'!H:H,"🔄 In Progress")</f>
        <v>0</v>
      </c>
      <c r="G19" s="57">
        <f>COUNTIFS('📚 Study Plan'!C:C,C19,'📚 Study Plan'!H:H,"⏸ Paused")</f>
        <v>0</v>
      </c>
      <c r="H19" s="58">
        <f>COUNTIFS('📚 Study Plan'!C:C,C19,'📚 Study Plan'!H:H,"❌ Skipped")</f>
        <v>0</v>
      </c>
      <c r="I19" s="59">
        <f t="shared" si="0"/>
        <v>8</v>
      </c>
      <c r="J19" s="59"/>
    </row>
    <row r="20" ht="24.2" spans="3:10">
      <c r="C20" s="71" t="s">
        <v>156</v>
      </c>
      <c r="D20" s="9">
        <v>7</v>
      </c>
      <c r="E20" s="61">
        <f>COUNTIFS('📚 Study Plan'!C:C,C20,'📚 Study Plan'!H:H,"✅ Done")</f>
        <v>0</v>
      </c>
      <c r="F20" s="62">
        <f>COUNTIFS('📚 Study Plan'!C:C,C20,'📚 Study Plan'!H:H,"🔄 In Progress")</f>
        <v>0</v>
      </c>
      <c r="G20" s="63">
        <f>COUNTIFS('📚 Study Plan'!C:C,C20,'📚 Study Plan'!H:H,"⏸ Paused")</f>
        <v>0</v>
      </c>
      <c r="H20" s="64">
        <f>COUNTIFS('📚 Study Plan'!C:C,C20,'📚 Study Plan'!H:H,"❌ Skipped")</f>
        <v>0</v>
      </c>
      <c r="I20" s="65">
        <f t="shared" si="0"/>
        <v>7</v>
      </c>
      <c r="J20" s="65"/>
    </row>
    <row r="21" ht="24.2" spans="3:10">
      <c r="C21" s="72" t="s">
        <v>167</v>
      </c>
      <c r="D21" s="5">
        <v>9</v>
      </c>
      <c r="E21" s="55">
        <f>COUNTIFS('📚 Study Plan'!C:C,C21,'📚 Study Plan'!H:H,"✅ Done")</f>
        <v>0</v>
      </c>
      <c r="F21" s="56">
        <f>COUNTIFS('📚 Study Plan'!C:C,C21,'📚 Study Plan'!H:H,"🔄 In Progress")</f>
        <v>0</v>
      </c>
      <c r="G21" s="57">
        <f>COUNTIFS('📚 Study Plan'!C:C,C21,'📚 Study Plan'!H:H,"⏸ Paused")</f>
        <v>0</v>
      </c>
      <c r="H21" s="58">
        <f>COUNTIFS('📚 Study Plan'!C:C,C21,'📚 Study Plan'!H:H,"❌ Skipped")</f>
        <v>0</v>
      </c>
      <c r="I21" s="59">
        <f t="shared" si="0"/>
        <v>9</v>
      </c>
      <c r="J21" s="59"/>
    </row>
    <row r="22" ht="24.2" spans="3:10">
      <c r="C22" s="73" t="s">
        <v>180</v>
      </c>
      <c r="D22" s="9">
        <v>5</v>
      </c>
      <c r="E22" s="61">
        <f>COUNTIFS('📚 Study Plan'!C:C,C22,'📚 Study Plan'!H:H,"✅ Done")</f>
        <v>0</v>
      </c>
      <c r="F22" s="62">
        <f>COUNTIFS('📚 Study Plan'!C:C,C22,'📚 Study Plan'!H:H,"🔄 In Progress")</f>
        <v>0</v>
      </c>
      <c r="G22" s="63">
        <f>COUNTIFS('📚 Study Plan'!C:C,C22,'📚 Study Plan'!H:H,"⏸ Paused")</f>
        <v>0</v>
      </c>
      <c r="H22" s="64">
        <f>COUNTIFS('📚 Study Plan'!C:C,C22,'📚 Study Plan'!H:H,"❌ Skipped")</f>
        <v>0</v>
      </c>
      <c r="I22" s="65">
        <f t="shared" si="0"/>
        <v>5</v>
      </c>
      <c r="J22" s="65"/>
    </row>
    <row r="23" ht="24.2" spans="3:10">
      <c r="C23" s="74" t="s">
        <v>188</v>
      </c>
      <c r="D23" s="5">
        <v>9</v>
      </c>
      <c r="E23" s="55">
        <f>COUNTIFS('📚 Study Plan'!C:C,C23,'📚 Study Plan'!H:H,"✅ Done")</f>
        <v>0</v>
      </c>
      <c r="F23" s="56">
        <f>COUNTIFS('📚 Study Plan'!C:C,C23,'📚 Study Plan'!H:H,"🔄 In Progress")</f>
        <v>0</v>
      </c>
      <c r="G23" s="57">
        <f>COUNTIFS('📚 Study Plan'!C:C,C23,'📚 Study Plan'!H:H,"⏸ Paused")</f>
        <v>0</v>
      </c>
      <c r="H23" s="58">
        <f>COUNTIFS('📚 Study Plan'!C:C,C23,'📚 Study Plan'!H:H,"❌ Skipped")</f>
        <v>0</v>
      </c>
      <c r="I23" s="59">
        <f t="shared" si="0"/>
        <v>9</v>
      </c>
      <c r="J23" s="59"/>
    </row>
    <row r="24" ht="24.2" spans="3:10">
      <c r="C24" s="75" t="s">
        <v>202</v>
      </c>
      <c r="D24" s="9">
        <v>14</v>
      </c>
      <c r="E24" s="61">
        <f>COUNTIFS('📚 Study Plan'!C:C,C24,'📚 Study Plan'!H:H,"✅ Done")</f>
        <v>0</v>
      </c>
      <c r="F24" s="62">
        <f>COUNTIFS('📚 Study Plan'!C:C,C24,'📚 Study Plan'!H:H,"🔄 In Progress")</f>
        <v>0</v>
      </c>
      <c r="G24" s="63">
        <f>COUNTIFS('📚 Study Plan'!C:C,C24,'📚 Study Plan'!H:H,"⏸ Paused")</f>
        <v>0</v>
      </c>
      <c r="H24" s="64">
        <f>COUNTIFS('📚 Study Plan'!C:C,C24,'📚 Study Plan'!H:H,"❌ Skipped")</f>
        <v>0</v>
      </c>
      <c r="I24" s="65">
        <f t="shared" si="0"/>
        <v>14</v>
      </c>
      <c r="J24" s="65"/>
    </row>
    <row r="25" spans="3:10">
      <c r="C25" s="76" t="s">
        <v>223</v>
      </c>
      <c r="D25" s="5">
        <v>5</v>
      </c>
      <c r="E25" s="55">
        <f>COUNTIFS('📚 Study Plan'!C:C,C25,'📚 Study Plan'!H:H,"✅ Done")</f>
        <v>0</v>
      </c>
      <c r="F25" s="56">
        <f>COUNTIFS('📚 Study Plan'!C:C,C25,'📚 Study Plan'!H:H,"🔄 In Progress")</f>
        <v>0</v>
      </c>
      <c r="G25" s="57">
        <f>COUNTIFS('📚 Study Plan'!C:C,C25,'📚 Study Plan'!H:H,"⏸ Paused")</f>
        <v>0</v>
      </c>
      <c r="H25" s="58">
        <f>COUNTIFS('📚 Study Plan'!C:C,C25,'📚 Study Plan'!H:H,"❌ Skipped")</f>
        <v>0</v>
      </c>
      <c r="I25" s="59">
        <f t="shared" si="0"/>
        <v>5</v>
      </c>
      <c r="J25" s="59"/>
    </row>
    <row r="26" ht="24.2" spans="3:10">
      <c r="C26" s="77" t="s">
        <v>231</v>
      </c>
      <c r="D26" s="9">
        <v>5</v>
      </c>
      <c r="E26" s="61">
        <f>COUNTIFS('📚 Study Plan'!C:C,C26,'📚 Study Plan'!H:H,"✅ Done")</f>
        <v>0</v>
      </c>
      <c r="F26" s="62">
        <f>COUNTIFS('📚 Study Plan'!C:C,C26,'📚 Study Plan'!H:H,"🔄 In Progress")</f>
        <v>0</v>
      </c>
      <c r="G26" s="63">
        <f>COUNTIFS('📚 Study Plan'!C:C,C26,'📚 Study Plan'!H:H,"⏸ Paused")</f>
        <v>0</v>
      </c>
      <c r="H26" s="64">
        <f>COUNTIFS('📚 Study Plan'!C:C,C26,'📚 Study Plan'!H:H,"❌ Skipped")</f>
        <v>0</v>
      </c>
      <c r="I26" s="65">
        <f t="shared" si="0"/>
        <v>5</v>
      </c>
      <c r="J26" s="65"/>
    </row>
    <row r="27" ht="24.2" spans="3:10">
      <c r="C27" s="78" t="s">
        <v>239</v>
      </c>
      <c r="D27" s="5">
        <v>6</v>
      </c>
      <c r="E27" s="55">
        <f>COUNTIFS('📚 Study Plan'!C:C,C27,'📚 Study Plan'!H:H,"✅ Done")</f>
        <v>0</v>
      </c>
      <c r="F27" s="56">
        <f>COUNTIFS('📚 Study Plan'!C:C,C27,'📚 Study Plan'!H:H,"🔄 In Progress")</f>
        <v>0</v>
      </c>
      <c r="G27" s="57">
        <f>COUNTIFS('📚 Study Plan'!C:C,C27,'📚 Study Plan'!H:H,"⏸ Paused")</f>
        <v>0</v>
      </c>
      <c r="H27" s="58">
        <f>COUNTIFS('📚 Study Plan'!C:C,C27,'📚 Study Plan'!H:H,"❌ Skipped")</f>
        <v>0</v>
      </c>
      <c r="I27" s="59">
        <f t="shared" si="0"/>
        <v>6</v>
      </c>
      <c r="J27" s="59"/>
    </row>
    <row r="28" ht="24.2" spans="3:10">
      <c r="C28" s="54" t="s">
        <v>248</v>
      </c>
      <c r="D28" s="9">
        <v>10</v>
      </c>
      <c r="E28" s="61">
        <f>COUNTIFS('📚 Study Plan'!C:C,C28,'📚 Study Plan'!H:H,"✅ Done")</f>
        <v>0</v>
      </c>
      <c r="F28" s="62">
        <f>COUNTIFS('📚 Study Plan'!C:C,C28,'📚 Study Plan'!H:H,"🔄 In Progress")</f>
        <v>0</v>
      </c>
      <c r="G28" s="63">
        <f>COUNTIFS('📚 Study Plan'!C:C,C28,'📚 Study Plan'!H:H,"⏸ Paused")</f>
        <v>0</v>
      </c>
      <c r="H28" s="64">
        <f>COUNTIFS('📚 Study Plan'!C:C,C28,'📚 Study Plan'!H:H,"❌ Skipped")</f>
        <v>0</v>
      </c>
      <c r="I28" s="65">
        <f t="shared" si="0"/>
        <v>10</v>
      </c>
      <c r="J28" s="65"/>
    </row>
    <row r="29" ht="24.2" spans="3:10">
      <c r="C29" s="60" t="s">
        <v>263</v>
      </c>
      <c r="D29" s="5">
        <v>7</v>
      </c>
      <c r="E29" s="55">
        <f>COUNTIFS('📚 Study Plan'!C:C,C29,'📚 Study Plan'!H:H,"✅ Done")</f>
        <v>0</v>
      </c>
      <c r="F29" s="56">
        <f>COUNTIFS('📚 Study Plan'!C:C,C29,'📚 Study Plan'!H:H,"🔄 In Progress")</f>
        <v>0</v>
      </c>
      <c r="G29" s="57">
        <f>COUNTIFS('📚 Study Plan'!C:C,C29,'📚 Study Plan'!H:H,"⏸ Paused")</f>
        <v>0</v>
      </c>
      <c r="H29" s="58">
        <f>COUNTIFS('📚 Study Plan'!C:C,C29,'📚 Study Plan'!H:H,"❌ Skipped")</f>
        <v>0</v>
      </c>
      <c r="I29" s="59">
        <f t="shared" si="0"/>
        <v>7</v>
      </c>
      <c r="J29" s="59"/>
    </row>
    <row r="30" ht="24.2" spans="3:10">
      <c r="C30" s="66" t="s">
        <v>274</v>
      </c>
      <c r="D30" s="9">
        <v>6</v>
      </c>
      <c r="E30" s="61">
        <f>COUNTIFS('📚 Study Plan'!C:C,C30,'📚 Study Plan'!H:H,"✅ Done")</f>
        <v>0</v>
      </c>
      <c r="F30" s="62">
        <f>COUNTIFS('📚 Study Plan'!C:C,C30,'📚 Study Plan'!H:H,"🔄 In Progress")</f>
        <v>0</v>
      </c>
      <c r="G30" s="63">
        <f>COUNTIFS('📚 Study Plan'!C:C,C30,'📚 Study Plan'!H:H,"⏸ Paused")</f>
        <v>0</v>
      </c>
      <c r="H30" s="64">
        <f>COUNTIFS('📚 Study Plan'!C:C,C30,'📚 Study Plan'!H:H,"❌ Skipped")</f>
        <v>0</v>
      </c>
      <c r="I30" s="65">
        <f t="shared" si="0"/>
        <v>6</v>
      </c>
      <c r="J30" s="65"/>
    </row>
    <row r="31" spans="3:10">
      <c r="C31" s="41" t="s">
        <v>298</v>
      </c>
      <c r="D31" s="41">
        <f t="shared" ref="D31:I31" si="1">SUM(D13:D30)</f>
        <v>176</v>
      </c>
      <c r="E31" s="41">
        <f t="shared" si="1"/>
        <v>2</v>
      </c>
      <c r="F31" s="41">
        <f t="shared" si="1"/>
        <v>0</v>
      </c>
      <c r="G31" s="41">
        <f t="shared" si="1"/>
        <v>0</v>
      </c>
      <c r="H31" s="41">
        <f t="shared" si="1"/>
        <v>0</v>
      </c>
      <c r="I31" s="41">
        <f t="shared" si="1"/>
        <v>174</v>
      </c>
      <c r="J31" s="41"/>
    </row>
    <row r="33" spans="3:10">
      <c r="C33" s="79" t="s">
        <v>299</v>
      </c>
      <c r="D33" s="79"/>
      <c r="E33" s="79"/>
      <c r="F33" s="79"/>
      <c r="G33" s="79"/>
      <c r="H33" s="79"/>
      <c r="I33" s="79"/>
      <c r="J33" s="79"/>
    </row>
  </sheetData>
  <mergeCells count="33">
    <mergeCell ref="A1:J1"/>
    <mergeCell ref="C6:D6"/>
    <mergeCell ref="E6:F6"/>
    <mergeCell ref="G6:H6"/>
    <mergeCell ref="I6:J6"/>
    <mergeCell ref="C8:J8"/>
    <mergeCell ref="C9:J9"/>
    <mergeCell ref="C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C33:J33"/>
    <mergeCell ref="C4:D5"/>
    <mergeCell ref="E4:F5"/>
    <mergeCell ref="G4:H5"/>
    <mergeCell ref="I4:J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showGridLines="0" workbookViewId="0">
      <selection activeCell="H3" sqref="H3"/>
    </sheetView>
  </sheetViews>
  <sheetFormatPr defaultColWidth="8.67826086956522" defaultRowHeight="14.4" outlineLevelCol="4"/>
  <cols>
    <col min="1" max="1" width="3" customWidth="1"/>
    <col min="2" max="2" width="40" customWidth="1"/>
    <col min="3" max="3" width="10" customWidth="1"/>
    <col min="4" max="5" width="16" customWidth="1"/>
  </cols>
  <sheetData>
    <row r="1" ht="20.7" spans="1:5">
      <c r="A1" s="1" t="s">
        <v>300</v>
      </c>
      <c r="B1" s="1"/>
      <c r="C1" s="1"/>
      <c r="D1" s="1"/>
      <c r="E1" s="1"/>
    </row>
    <row r="2" spans="1:5">
      <c r="A2" s="2"/>
      <c r="B2" s="2" t="s">
        <v>5</v>
      </c>
      <c r="C2" s="2" t="s">
        <v>292</v>
      </c>
      <c r="D2" s="2" t="s">
        <v>301</v>
      </c>
      <c r="E2" s="2" t="s">
        <v>302</v>
      </c>
    </row>
    <row r="3" spans="1:5">
      <c r="A3" s="3"/>
      <c r="B3" s="4" t="s">
        <v>13</v>
      </c>
      <c r="C3" s="5">
        <v>19</v>
      </c>
      <c r="D3" s="6">
        <v>4</v>
      </c>
      <c r="E3" s="6" t="s">
        <v>303</v>
      </c>
    </row>
    <row r="4" spans="1:5">
      <c r="A4" s="7"/>
      <c r="B4" s="8" t="s">
        <v>47</v>
      </c>
      <c r="C4" s="9">
        <v>7</v>
      </c>
      <c r="D4" s="10">
        <v>2</v>
      </c>
      <c r="E4" s="10" t="s">
        <v>304</v>
      </c>
    </row>
    <row r="5" ht="24.2" spans="1:5">
      <c r="A5" s="11"/>
      <c r="B5" s="12" t="s">
        <v>59</v>
      </c>
      <c r="C5" s="5">
        <v>19</v>
      </c>
      <c r="D5" s="6">
        <v>4</v>
      </c>
      <c r="E5" s="6" t="s">
        <v>305</v>
      </c>
    </row>
    <row r="6" spans="1:5">
      <c r="A6" s="13"/>
      <c r="B6" s="14" t="s">
        <v>86</v>
      </c>
      <c r="C6" s="9">
        <v>12</v>
      </c>
      <c r="D6" s="10">
        <v>3</v>
      </c>
      <c r="E6" s="10" t="s">
        <v>306</v>
      </c>
    </row>
    <row r="7" spans="1:5">
      <c r="A7" s="15"/>
      <c r="B7" s="16" t="s">
        <v>104</v>
      </c>
      <c r="C7" s="5">
        <v>17</v>
      </c>
      <c r="D7" s="6">
        <v>4</v>
      </c>
      <c r="E7" s="6" t="s">
        <v>307</v>
      </c>
    </row>
    <row r="8" spans="1:5">
      <c r="A8" s="17"/>
      <c r="B8" s="18" t="s">
        <v>128</v>
      </c>
      <c r="C8" s="9">
        <v>11</v>
      </c>
      <c r="D8" s="10">
        <v>3</v>
      </c>
      <c r="E8" s="10" t="s">
        <v>308</v>
      </c>
    </row>
    <row r="9" spans="1:5">
      <c r="A9" s="19"/>
      <c r="B9" s="20" t="s">
        <v>145</v>
      </c>
      <c r="C9" s="5">
        <v>8</v>
      </c>
      <c r="D9" s="6">
        <v>2</v>
      </c>
      <c r="E9" s="6" t="s">
        <v>309</v>
      </c>
    </row>
    <row r="10" spans="1:5">
      <c r="A10" s="21"/>
      <c r="B10" s="22" t="s">
        <v>156</v>
      </c>
      <c r="C10" s="9">
        <v>7</v>
      </c>
      <c r="D10" s="10">
        <v>2</v>
      </c>
      <c r="E10" s="10" t="s">
        <v>310</v>
      </c>
    </row>
    <row r="11" spans="1:5">
      <c r="A11" s="23"/>
      <c r="B11" s="24" t="s">
        <v>167</v>
      </c>
      <c r="C11" s="5">
        <v>9</v>
      </c>
      <c r="D11" s="6">
        <v>2</v>
      </c>
      <c r="E11" s="6" t="s">
        <v>311</v>
      </c>
    </row>
    <row r="12" spans="1:5">
      <c r="A12" s="25"/>
      <c r="B12" s="26" t="s">
        <v>180</v>
      </c>
      <c r="C12" s="9">
        <v>5</v>
      </c>
      <c r="D12" s="10">
        <v>1</v>
      </c>
      <c r="E12" s="10" t="s">
        <v>312</v>
      </c>
    </row>
    <row r="13" spans="1:5">
      <c r="A13" s="27"/>
      <c r="B13" s="28" t="s">
        <v>188</v>
      </c>
      <c r="C13" s="5">
        <v>9</v>
      </c>
      <c r="D13" s="6">
        <v>2</v>
      </c>
      <c r="E13" s="6" t="s">
        <v>313</v>
      </c>
    </row>
    <row r="14" spans="1:5">
      <c r="A14" s="29"/>
      <c r="B14" s="30" t="s">
        <v>202</v>
      </c>
      <c r="C14" s="9">
        <v>14</v>
      </c>
      <c r="D14" s="10">
        <v>3</v>
      </c>
      <c r="E14" s="10" t="s">
        <v>314</v>
      </c>
    </row>
    <row r="15" spans="1:5">
      <c r="A15" s="31"/>
      <c r="B15" s="32" t="s">
        <v>223</v>
      </c>
      <c r="C15" s="5">
        <v>5</v>
      </c>
      <c r="D15" s="6">
        <v>1</v>
      </c>
      <c r="E15" s="6" t="s">
        <v>315</v>
      </c>
    </row>
    <row r="16" spans="1:5">
      <c r="A16" s="33"/>
      <c r="B16" s="34" t="s">
        <v>231</v>
      </c>
      <c r="C16" s="9">
        <v>5</v>
      </c>
      <c r="D16" s="10">
        <v>1</v>
      </c>
      <c r="E16" s="10" t="s">
        <v>316</v>
      </c>
    </row>
    <row r="17" spans="1:5">
      <c r="A17" s="35"/>
      <c r="B17" s="36" t="s">
        <v>239</v>
      </c>
      <c r="C17" s="5">
        <v>6</v>
      </c>
      <c r="D17" s="6">
        <v>2</v>
      </c>
      <c r="E17" s="6" t="s">
        <v>317</v>
      </c>
    </row>
    <row r="18" spans="1:5">
      <c r="A18" s="3"/>
      <c r="B18" s="37" t="s">
        <v>248</v>
      </c>
      <c r="C18" s="9">
        <v>10</v>
      </c>
      <c r="D18" s="10">
        <v>2</v>
      </c>
      <c r="E18" s="10" t="s">
        <v>318</v>
      </c>
    </row>
    <row r="19" spans="1:5">
      <c r="A19" s="7"/>
      <c r="B19" s="38" t="s">
        <v>263</v>
      </c>
      <c r="C19" s="5">
        <v>7</v>
      </c>
      <c r="D19" s="6">
        <v>2</v>
      </c>
      <c r="E19" s="6" t="s">
        <v>319</v>
      </c>
    </row>
    <row r="20" spans="1:5">
      <c r="A20" s="11"/>
      <c r="B20" s="39" t="s">
        <v>274</v>
      </c>
      <c r="C20" s="9">
        <v>6</v>
      </c>
      <c r="D20" s="10">
        <v>2</v>
      </c>
      <c r="E20" s="10" t="s">
        <v>320</v>
      </c>
    </row>
    <row r="21" spans="1:5">
      <c r="A21" s="40"/>
      <c r="B21" s="41" t="s">
        <v>298</v>
      </c>
      <c r="C21" s="41">
        <v>176</v>
      </c>
      <c r="D21" s="41">
        <v>36</v>
      </c>
      <c r="E21" s="40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📚 Study Plan</vt:lpstr>
      <vt:lpstr>📊 Dashboard</vt:lpstr>
      <vt:lpstr>📋 Sections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shans</cp:lastModifiedBy>
  <cp:revision>0</cp:revision>
  <dcterms:created xsi:type="dcterms:W3CDTF">2026-05-16T14:05:00Z</dcterms:created>
  <dcterms:modified xsi:type="dcterms:W3CDTF">2026-05-21T15:59:42Z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48DACF1C12FA45E8BCF956F74FDAE390_12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